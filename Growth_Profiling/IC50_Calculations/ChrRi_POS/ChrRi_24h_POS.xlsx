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k/Desktop/ChrR/IC50 Calculations/"/>
    </mc:Choice>
  </mc:AlternateContent>
  <xr:revisionPtr revIDLastSave="0" documentId="13_ncr:1_{3AFA3C3F-567D-6145-B98D-853A8DF208E6}" xr6:coauthVersionLast="47" xr6:coauthVersionMax="47" xr10:uidLastSave="{00000000-0000-0000-0000-000000000000}"/>
  <bookViews>
    <workbookView xWindow="2660" yWindow="760" windowWidth="18040" windowHeight="17000" xr2:uid="{D7A8EE03-E7B9-714E-8BB5-26BE411FBF30}"/>
  </bookViews>
  <sheets>
    <sheet name="POS3" sheetId="3" r:id="rId1"/>
    <sheet name="POS2" sheetId="2" r:id="rId2"/>
    <sheet name="POS1" sheetId="1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5" i="3" l="1"/>
  <c r="D25" i="3" s="1"/>
  <c r="E25" i="3" s="1"/>
  <c r="F25" i="3" s="1"/>
  <c r="G25" i="3" s="1"/>
  <c r="H25" i="3" s="1"/>
  <c r="I25" i="3" s="1"/>
  <c r="J25" i="3" s="1"/>
  <c r="K25" i="3" s="1"/>
  <c r="L25" i="3" s="1"/>
  <c r="C25" i="2"/>
  <c r="D25" i="2" s="1"/>
  <c r="E25" i="2" s="1"/>
  <c r="F25" i="2" s="1"/>
  <c r="G25" i="2" s="1"/>
  <c r="H25" i="2" s="1"/>
  <c r="I25" i="2" s="1"/>
  <c r="J25" i="2" s="1"/>
  <c r="K25" i="2" s="1"/>
  <c r="L25" i="2" s="1"/>
  <c r="C25" i="1"/>
  <c r="D25" i="1" s="1"/>
  <c r="E25" i="1" s="1"/>
  <c r="F25" i="1" s="1"/>
  <c r="G25" i="1" s="1"/>
  <c r="H25" i="1" s="1"/>
  <c r="I25" i="1" s="1"/>
  <c r="J25" i="1" s="1"/>
  <c r="K25" i="1" s="1"/>
  <c r="L2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Shapiro Lab PC 2</author>
  </authors>
  <commentList>
    <comment ref="E1" authorId="0" shapeId="0" xr:uid="{5E79F5D8-019E-1947-856B-460FDDDA4441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A8DAC596-EC9A-EC4D-8AEF-4B9956331934}">
      <text>
        <r>
          <rPr>
            <b/>
            <sz val="9"/>
            <color indexed="81"/>
            <rFont val="Tahoma"/>
            <family val="2"/>
          </rPr>
          <t xml:space="preserve">EHC, V_5.31_04/18_InfiniteRX (Mar 28 2018/16.41.26)
MTP, V_5.31_04/18_InfiniteRX (Mar 28 2018/16.41.26)
CUV, V_5.31_04/18_InfiniteRX (Mar 28 2018/16.41.26)
HCP, V_5.31_04/18_InfiniteRX (Mar 28 2018/16.41.26)
MEM, V_3.00_09/11_MCR (Sep 27 2011/15.05.45)
MEX, V_3.00_09/11_MCR (Sep 27 2011/15.05.10)
ZSCAN, V_5.31_04/18_InfiniteRX (Mar 28 2018/16.41.26)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Shapiro Lab PC 2</author>
  </authors>
  <commentList>
    <comment ref="E1" authorId="0" shapeId="0" xr:uid="{B1E9202C-3BF2-1E46-B81E-7923CCEE47D5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72BBEDF7-7F4E-E14A-8F26-CA4910BBBE44}">
      <text>
        <r>
          <rPr>
            <b/>
            <sz val="9"/>
            <color indexed="81"/>
            <rFont val="Tahoma"/>
            <family val="2"/>
          </rPr>
          <t xml:space="preserve">EHC, V_5.31_04/18_InfiniteRX (Mar 28 2018/16.41.26)
MTP, V_5.31_04/18_InfiniteRX (Mar 28 2018/16.41.26)
CUV, V_5.31_04/18_InfiniteRX (Mar 28 2018/16.41.26)
HCP, V_5.31_04/18_InfiniteRX (Mar 28 2018/16.41.26)
MEM, V_3.00_09/11_MCR (Sep 27 2011/15.05.45)
MEX, V_3.00_09/11_MCR (Sep 27 2011/15.05.10)
ZSCAN, V_5.31_04/18_InfiniteRX (Mar 28 2018/16.41.26)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Shapiro Lab PC 2</author>
  </authors>
  <commentList>
    <comment ref="E1" authorId="0" shapeId="0" xr:uid="{401259ED-586D-964C-9C4C-AF11B03CA266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24049537-C867-0D4A-9A08-4A8A0F895FEF}">
      <text>
        <r>
          <rPr>
            <b/>
            <sz val="9"/>
            <color indexed="81"/>
            <rFont val="Tahoma"/>
            <family val="2"/>
          </rPr>
          <t xml:space="preserve">EHC, V_5.31_04/18_InfiniteRX (Mar 28 2018/16.41.26)
MTP, V_5.31_04/18_InfiniteRX (Mar 28 2018/16.41.26)
CUV, V_5.31_04/18_InfiniteRX (Mar 28 2018/16.41.26)
HCP, V_5.31_04/18_InfiniteRX (Mar 28 2018/16.41.26)
MEM, V_3.00_09/11_MCR (Sep 27 2011/15.05.45)
MEX, V_3.00_09/11_MCR (Sep 27 2011/15.05.10)
ZSCAN, V_5.31_04/18_InfiniteRX (Mar 28 2018/16.41.26)
</t>
        </r>
      </text>
    </comment>
  </commentList>
</comments>
</file>

<file path=xl/sharedStrings.xml><?xml version="1.0" encoding="utf-8"?>
<sst xmlns="http://schemas.openxmlformats.org/spreadsheetml/2006/main" count="123" uniqueCount="47">
  <si>
    <t>Application: Tecan i-control</t>
  </si>
  <si>
    <t>Tecan i-control , 2.0.10.0</t>
  </si>
  <si>
    <t>Device: infinite 200Pro</t>
  </si>
  <si>
    <t>Serial number: 1903010769</t>
  </si>
  <si>
    <t>Serial number of connected stacker:</t>
  </si>
  <si>
    <t>Firmware: V_5.31_04/18_InfiniteRX (Mar 28 2018/16.41.26)</t>
  </si>
  <si>
    <t>MAI, V_5.31_04/18_InfiniteRX (Mar 28 2018/16.41.26)</t>
  </si>
  <si>
    <t>Date:</t>
  </si>
  <si>
    <t>Time:</t>
  </si>
  <si>
    <t>1:35:32 PM</t>
  </si>
  <si>
    <t>System</t>
  </si>
  <si>
    <t>LAPTOP-P4MII5TR</t>
  </si>
  <si>
    <t>User</t>
  </si>
  <si>
    <t>LAPTOP-P4MII5TR\Shapiro Lab PC 2</t>
  </si>
  <si>
    <t>Plate</t>
  </si>
  <si>
    <t>VWR 96 Flat Bottom Transparent polyethylene 1086-562 [VWR-transparent-pet.pdfx]</t>
  </si>
  <si>
    <t>Plate-ID (Stacker)</t>
  </si>
  <si>
    <t>Label: Label1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</si>
  <si>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</si>
  <si>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</si>
  <si>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</si>
  <si>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</si>
  <si>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</si>
  <si>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</si>
  <si>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</si>
  <si>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</si>
  <si>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Part of Plate</t>
  </si>
  <si>
    <t>B1-H12</t>
  </si>
  <si>
    <t>Start Time:</t>
  </si>
  <si>
    <t>2026-05-20 1:35:32 PM</t>
  </si>
  <si>
    <t>Temperature: 26.3 °C</t>
  </si>
  <si>
    <t>&lt;&gt;</t>
  </si>
  <si>
    <t>B3_2</t>
  </si>
  <si>
    <t>B4_7</t>
  </si>
  <si>
    <t>C3_2</t>
  </si>
  <si>
    <t>C3_7</t>
  </si>
  <si>
    <t>C4_5</t>
  </si>
  <si>
    <t>Blank</t>
  </si>
  <si>
    <t>End Time:</t>
  </si>
  <si>
    <t>2026-05-20 1:36:42 PM</t>
  </si>
  <si>
    <t>1:37:12 PM</t>
  </si>
  <si>
    <t>2026-05-20 1:37:12 PM</t>
  </si>
  <si>
    <t>Temperature: 26.4 °C</t>
  </si>
  <si>
    <t>2026-05-20 1:38:21 PM</t>
  </si>
  <si>
    <t>1:41:41 PM</t>
  </si>
  <si>
    <t>2026-05-20 1:41:41 PM</t>
  </si>
  <si>
    <t>2026-05-20 1:42:51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</si>
</sst>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2" borderId="0" xfId="0" applyFont="1" applyFill="1"/>
    <xf numFmtId="0" fontId="1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18BF7-568B-DE49-B10F-644F169D82DE}">
  <dimension ref="A1:M37"/>
  <sheetViews>
    <sheetView tabSelected="1" workbookViewId="0">
      <selection activeCell="H15" sqref="H15"/>
    </sheetView>
  </sheetViews>
  <sheetFormatPr baseColWidth="10" defaultColWidth="8.83203125" defaultRowHeight="16" x14ac:dyDescent="0.2"/>
  <sheetData>
    <row r="1" spans="1:9" x14ac:dyDescent="0.2">
      <c r="A1" t="s">
        <v>0</v>
      </c>
      <c r="E1" t="s">
        <v>1</v>
      </c>
    </row>
    <row r="2" spans="1:9" x14ac:dyDescent="0.2">
      <c r="A2" t="s">
        <v>2</v>
      </c>
      <c r="E2" t="s">
        <v>3</v>
      </c>
      <c r="I2" t="s">
        <v>4</v>
      </c>
    </row>
    <row r="3" spans="1:9" x14ac:dyDescent="0.2">
      <c r="A3" t="s">
        <v>5</v>
      </c>
      <c r="E3" t="s">
        <v>6</v>
      </c>
    </row>
    <row r="5" spans="1:9" x14ac:dyDescent="0.2">
      <c r="A5" t="s">
        <v>7</v>
      </c>
      <c r="B5" s="1">
        <v>46162</v>
      </c>
    </row>
    <row r="6" spans="1:9" x14ac:dyDescent="0.2">
      <c r="A6" t="s">
        <v>8</v>
      </c>
      <c r="B6" s="2" t="s">
        <v>44</v>
      </c>
    </row>
    <row r="9" spans="1:9" x14ac:dyDescent="0.2">
      <c r="A9" t="s">
        <v>10</v>
      </c>
      <c r="E9" t="s">
        <v>11</v>
      </c>
    </row>
    <row r="10" spans="1:9" x14ac:dyDescent="0.2">
      <c r="A10" t="s">
        <v>12</v>
      </c>
      <c r="E10" t="s">
        <v>13</v>
      </c>
    </row>
    <row r="11" spans="1:9" x14ac:dyDescent="0.2">
      <c r="A11" t="s">
        <v>14</v>
      </c>
      <c r="E11" t="s">
        <v>15</v>
      </c>
    </row>
    <row r="12" spans="1:9" x14ac:dyDescent="0.2">
      <c r="A12" t="s">
        <v>16</v>
      </c>
    </row>
    <row r="15" spans="1:9" x14ac:dyDescent="0.2">
      <c r="A15" t="s">
        <v>17</v>
      </c>
    </row>
    <row r="16" spans="1:9" x14ac:dyDescent="0.2">
      <c r="A16" t="s">
        <v>18</v>
      </c>
      <c r="E16" t="s">
        <v>19</v>
      </c>
    </row>
    <row r="17" spans="1:13" x14ac:dyDescent="0.2">
      <c r="A17" t="s">
        <v>20</v>
      </c>
      <c r="E17">
        <v>600</v>
      </c>
      <c r="F17" t="s">
        <v>21</v>
      </c>
    </row>
    <row r="18" spans="1:13" x14ac:dyDescent="0.2">
      <c r="A18" t="s">
        <v>22</v>
      </c>
      <c r="E18">
        <v>9</v>
      </c>
      <c r="F18" t="s">
        <v>21</v>
      </c>
    </row>
    <row r="19" spans="1:13" x14ac:dyDescent="0.2">
      <c r="A19" t="s">
        <v>23</v>
      </c>
      <c r="E19">
        <v>25</v>
      </c>
    </row>
    <row r="20" spans="1:13" x14ac:dyDescent="0.2">
      <c r="A20" t="s">
        <v>24</v>
      </c>
      <c r="E20">
        <v>0</v>
      </c>
      <c r="F20" t="s">
        <v>25</v>
      </c>
    </row>
    <row r="21" spans="1:13" x14ac:dyDescent="0.2">
      <c r="A21" t="s">
        <v>26</v>
      </c>
      <c r="E21" t="s">
        <v>27</v>
      </c>
    </row>
    <row r="22" spans="1:13" x14ac:dyDescent="0.2">
      <c r="A22" t="s">
        <v>28</v>
      </c>
      <c r="B22" s="2" t="s">
        <v>45</v>
      </c>
    </row>
    <row r="24" spans="1:13" x14ac:dyDescent="0.2">
      <c r="B24" t="s">
        <v>42</v>
      </c>
    </row>
    <row r="25" spans="1:13" x14ac:dyDescent="0.2">
      <c r="A25" s="3" t="s">
        <v>31</v>
      </c>
      <c r="B25" s="3">
        <v>1</v>
      </c>
      <c r="C25" s="3">
        <f>B25/2</f>
        <v>0.5</v>
      </c>
      <c r="D25" s="3">
        <f t="shared" ref="D25:L25" si="0">C25/2</f>
        <v>0.25</v>
      </c>
      <c r="E25" s="3">
        <f t="shared" si="0"/>
        <v>0.125</v>
      </c>
      <c r="F25" s="3">
        <f t="shared" si="0"/>
        <v>6.25E-2</v>
      </c>
      <c r="G25" s="3">
        <f t="shared" si="0"/>
        <v>3.125E-2</v>
      </c>
      <c r="H25" s="3">
        <f t="shared" si="0"/>
        <v>1.5625E-2</v>
      </c>
      <c r="I25" s="3">
        <f t="shared" si="0"/>
        <v>7.8125E-3</v>
      </c>
      <c r="J25" s="3">
        <f t="shared" si="0"/>
        <v>3.90625E-3</v>
      </c>
      <c r="K25" s="3">
        <f t="shared" si="0"/>
        <v>1.953125E-3</v>
      </c>
      <c r="L25" s="3">
        <f t="shared" si="0"/>
        <v>9.765625E-4</v>
      </c>
      <c r="M25" s="3">
        <v>0</v>
      </c>
    </row>
    <row r="26" spans="1:13" x14ac:dyDescent="0.2">
      <c r="A26" s="4" t="s">
        <v>32</v>
      </c>
      <c r="B26">
        <v>8.8799998164176941E-2</v>
      </c>
      <c r="C26">
        <v>9.1399997472763062E-2</v>
      </c>
      <c r="D26">
        <v>8.1200003623962402E-2</v>
      </c>
      <c r="E26">
        <v>8.5699997842311859E-2</v>
      </c>
      <c r="F26">
        <v>7.9999998211860657E-2</v>
      </c>
      <c r="G26">
        <v>8.529999852180481E-2</v>
      </c>
      <c r="H26">
        <v>8.8699996471405029E-2</v>
      </c>
      <c r="I26">
        <v>9.920000284910202E-2</v>
      </c>
      <c r="J26">
        <v>0.90160000324249268</v>
      </c>
      <c r="K26">
        <v>1.187000036239624</v>
      </c>
      <c r="L26">
        <v>1.2711999416351318</v>
      </c>
      <c r="M26">
        <v>1.235200047492981</v>
      </c>
    </row>
    <row r="27" spans="1:13" x14ac:dyDescent="0.2">
      <c r="A27" s="4" t="s">
        <v>33</v>
      </c>
      <c r="B27">
        <v>0.34720000624656677</v>
      </c>
      <c r="C27">
        <v>0.26570001244544983</v>
      </c>
      <c r="D27">
        <v>0.22990000247955322</v>
      </c>
      <c r="E27">
        <v>0.17249999940395355</v>
      </c>
      <c r="F27">
        <v>0.13160000741481781</v>
      </c>
      <c r="G27">
        <v>0.18449999392032623</v>
      </c>
      <c r="H27">
        <v>0.26480001211166382</v>
      </c>
      <c r="I27">
        <v>0.51419997215270996</v>
      </c>
      <c r="J27">
        <v>0.2768000066280365</v>
      </c>
      <c r="K27">
        <v>1.2280999422073364</v>
      </c>
      <c r="L27">
        <v>1.2877000570297241</v>
      </c>
      <c r="M27">
        <v>1.2583999633789062</v>
      </c>
    </row>
    <row r="28" spans="1:13" x14ac:dyDescent="0.2">
      <c r="A28" s="4" t="s">
        <v>34</v>
      </c>
      <c r="B28">
        <v>0.10159999877214432</v>
      </c>
      <c r="C28">
        <v>8.5199996829032898E-2</v>
      </c>
      <c r="D28">
        <v>8.0099999904632568E-2</v>
      </c>
      <c r="E28">
        <v>8.8699996471405029E-2</v>
      </c>
      <c r="F28">
        <v>9.7699999809265137E-2</v>
      </c>
      <c r="G28">
        <v>9.0800002217292786E-2</v>
      </c>
      <c r="H28">
        <v>0.10180000215768814</v>
      </c>
      <c r="I28">
        <v>0.11630000174045563</v>
      </c>
      <c r="J28">
        <v>1.0597000122070312</v>
      </c>
      <c r="K28">
        <v>1.2539000511169434</v>
      </c>
      <c r="L28">
        <v>1.2746000289916992</v>
      </c>
      <c r="M28">
        <v>1.2610000371932983</v>
      </c>
    </row>
    <row r="29" spans="1:13" x14ac:dyDescent="0.2">
      <c r="A29" s="4" t="s">
        <v>35</v>
      </c>
      <c r="B29">
        <v>0.1395999938249588</v>
      </c>
      <c r="C29">
        <v>9.3999996781349182E-2</v>
      </c>
      <c r="D29">
        <v>9.0599998831748962E-2</v>
      </c>
      <c r="E29">
        <v>9.0099997818470001E-2</v>
      </c>
      <c r="F29">
        <v>7.7799998223781586E-2</v>
      </c>
      <c r="G29">
        <v>9.3999996781349182E-2</v>
      </c>
      <c r="H29">
        <v>0.10599999874830246</v>
      </c>
      <c r="I29">
        <v>0.15659999847412109</v>
      </c>
      <c r="J29">
        <v>1.0230000019073486</v>
      </c>
      <c r="K29">
        <v>1.2316999435424805</v>
      </c>
      <c r="L29">
        <v>1.270300030708313</v>
      </c>
      <c r="M29">
        <v>1.2835999727249146</v>
      </c>
    </row>
    <row r="30" spans="1:13" x14ac:dyDescent="0.2">
      <c r="A30" s="4" t="s">
        <v>36</v>
      </c>
      <c r="B30">
        <v>0.30910000205039978</v>
      </c>
      <c r="C30">
        <v>0.16300000250339508</v>
      </c>
      <c r="D30">
        <v>0.15530000627040863</v>
      </c>
      <c r="E30">
        <v>0.21870000660419464</v>
      </c>
      <c r="F30">
        <v>0.15240000188350677</v>
      </c>
      <c r="G30">
        <v>0.19499999284744263</v>
      </c>
      <c r="H30">
        <v>0.27120000123977661</v>
      </c>
      <c r="I30">
        <v>0.38109999895095825</v>
      </c>
      <c r="J30">
        <v>1.1934000253677368</v>
      </c>
      <c r="K30">
        <v>1.238800048828125</v>
      </c>
      <c r="L30">
        <v>1.2380000352859497</v>
      </c>
      <c r="M30">
        <v>1.3230999708175659</v>
      </c>
    </row>
    <row r="31" spans="1:13" x14ac:dyDescent="0.2">
      <c r="A31" s="4">
        <v>1265</v>
      </c>
      <c r="B31">
        <v>0.15449999272823334</v>
      </c>
      <c r="C31">
        <v>0.12080000340938568</v>
      </c>
      <c r="D31">
        <v>0.11349999904632568</v>
      </c>
      <c r="E31">
        <v>0.10830000042915344</v>
      </c>
      <c r="F31">
        <v>0.11060000211000443</v>
      </c>
      <c r="G31">
        <v>0.11450000107288361</v>
      </c>
      <c r="H31">
        <v>0.1111999973654747</v>
      </c>
      <c r="I31">
        <v>0.12939999997615814</v>
      </c>
      <c r="J31">
        <v>0.68250000476837158</v>
      </c>
      <c r="K31">
        <v>1.159000039100647</v>
      </c>
      <c r="L31">
        <v>1.2639000415802002</v>
      </c>
      <c r="M31">
        <v>1.2697999477386475</v>
      </c>
    </row>
    <row r="32" spans="1:13" x14ac:dyDescent="0.2">
      <c r="A32" s="4" t="s">
        <v>37</v>
      </c>
      <c r="B32">
        <v>6.289999932050705E-2</v>
      </c>
      <c r="C32">
        <v>6.2700003385543823E-2</v>
      </c>
      <c r="D32">
        <v>6.1400000005960464E-2</v>
      </c>
      <c r="E32">
        <v>6.1500001698732376E-2</v>
      </c>
      <c r="F32">
        <v>6.1900001019239426E-2</v>
      </c>
      <c r="G32">
        <v>6.1000000685453415E-2</v>
      </c>
      <c r="H32">
        <v>6.1000000685453415E-2</v>
      </c>
      <c r="I32">
        <v>6.210000067949295E-2</v>
      </c>
      <c r="J32">
        <v>6.080000102519989E-2</v>
      </c>
      <c r="K32">
        <v>6.1599999666213989E-2</v>
      </c>
      <c r="L32">
        <v>6.2199998646974564E-2</v>
      </c>
      <c r="M32">
        <v>6.1999998986721039E-2</v>
      </c>
    </row>
    <row r="37" spans="1:2" x14ac:dyDescent="0.2">
      <c r="A37" t="s">
        <v>38</v>
      </c>
      <c r="B37" s="2" t="s">
        <v>46</v>
      </c>
    </row>
  </sheetData>
  <conditionalFormatting sqref="B26:M32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7776E-1BC9-FC47-96E2-2A2DB41775AB}">
  <dimension ref="A1:M37"/>
  <sheetViews>
    <sheetView workbookViewId="0">
      <selection sqref="A1:XFD1048576"/>
    </sheetView>
  </sheetViews>
  <sheetFormatPr baseColWidth="10" defaultColWidth="8.83203125" defaultRowHeight="16" x14ac:dyDescent="0.2"/>
  <sheetData>
    <row r="1" spans="1:9" x14ac:dyDescent="0.2">
      <c r="A1" t="s">
        <v>0</v>
      </c>
      <c r="E1" t="s">
        <v>1</v>
      </c>
    </row>
    <row r="2" spans="1:9" x14ac:dyDescent="0.2">
      <c r="A2" t="s">
        <v>2</v>
      </c>
      <c r="E2" t="s">
        <v>3</v>
      </c>
      <c r="I2" t="s">
        <v>4</v>
      </c>
    </row>
    <row r="3" spans="1:9" x14ac:dyDescent="0.2">
      <c r="A3" t="s">
        <v>5</v>
      </c>
      <c r="E3" t="s">
        <v>6</v>
      </c>
    </row>
    <row r="5" spans="1:9" x14ac:dyDescent="0.2">
      <c r="A5" t="s">
        <v>7</v>
      </c>
      <c r="B5" s="1">
        <v>46162</v>
      </c>
    </row>
    <row r="6" spans="1:9" x14ac:dyDescent="0.2">
      <c r="A6" t="s">
        <v>8</v>
      </c>
      <c r="B6" s="2" t="s">
        <v>40</v>
      </c>
    </row>
    <row r="9" spans="1:9" x14ac:dyDescent="0.2">
      <c r="A9" t="s">
        <v>10</v>
      </c>
      <c r="E9" t="s">
        <v>11</v>
      </c>
    </row>
    <row r="10" spans="1:9" x14ac:dyDescent="0.2">
      <c r="A10" t="s">
        <v>12</v>
      </c>
      <c r="E10" t="s">
        <v>13</v>
      </c>
    </row>
    <row r="11" spans="1:9" x14ac:dyDescent="0.2">
      <c r="A11" t="s">
        <v>14</v>
      </c>
      <c r="E11" t="s">
        <v>15</v>
      </c>
    </row>
    <row r="12" spans="1:9" x14ac:dyDescent="0.2">
      <c r="A12" t="s">
        <v>16</v>
      </c>
    </row>
    <row r="15" spans="1:9" x14ac:dyDescent="0.2">
      <c r="A15" t="s">
        <v>17</v>
      </c>
    </row>
    <row r="16" spans="1:9" x14ac:dyDescent="0.2">
      <c r="A16" t="s">
        <v>18</v>
      </c>
      <c r="E16" t="s">
        <v>19</v>
      </c>
    </row>
    <row r="17" spans="1:13" x14ac:dyDescent="0.2">
      <c r="A17" t="s">
        <v>20</v>
      </c>
      <c r="E17">
        <v>600</v>
      </c>
      <c r="F17" t="s">
        <v>21</v>
      </c>
    </row>
    <row r="18" spans="1:13" x14ac:dyDescent="0.2">
      <c r="A18" t="s">
        <v>22</v>
      </c>
      <c r="E18">
        <v>9</v>
      </c>
      <c r="F18" t="s">
        <v>21</v>
      </c>
    </row>
    <row r="19" spans="1:13" x14ac:dyDescent="0.2">
      <c r="A19" t="s">
        <v>23</v>
      </c>
      <c r="E19">
        <v>25</v>
      </c>
    </row>
    <row r="20" spans="1:13" x14ac:dyDescent="0.2">
      <c r="A20" t="s">
        <v>24</v>
      </c>
      <c r="E20">
        <v>0</v>
      </c>
      <c r="F20" t="s">
        <v>25</v>
      </c>
    </row>
    <row r="21" spans="1:13" x14ac:dyDescent="0.2">
      <c r="A21" t="s">
        <v>26</v>
      </c>
      <c r="E21" t="s">
        <v>27</v>
      </c>
    </row>
    <row r="22" spans="1:13" x14ac:dyDescent="0.2">
      <c r="A22" t="s">
        <v>28</v>
      </c>
      <c r="B22" s="2" t="s">
        <v>41</v>
      </c>
    </row>
    <row r="24" spans="1:13" x14ac:dyDescent="0.2">
      <c r="B24" t="s">
        <v>42</v>
      </c>
    </row>
    <row r="25" spans="1:13" x14ac:dyDescent="0.2">
      <c r="A25" s="3" t="s">
        <v>31</v>
      </c>
      <c r="B25" s="3">
        <v>1</v>
      </c>
      <c r="C25" s="3">
        <f>B25/2</f>
        <v>0.5</v>
      </c>
      <c r="D25" s="3">
        <f t="shared" ref="D25:L25" si="0">C25/2</f>
        <v>0.25</v>
      </c>
      <c r="E25" s="3">
        <f t="shared" si="0"/>
        <v>0.125</v>
      </c>
      <c r="F25" s="3">
        <f t="shared" si="0"/>
        <v>6.25E-2</v>
      </c>
      <c r="G25" s="3">
        <f t="shared" si="0"/>
        <v>3.125E-2</v>
      </c>
      <c r="H25" s="3">
        <f t="shared" si="0"/>
        <v>1.5625E-2</v>
      </c>
      <c r="I25" s="3">
        <f t="shared" si="0"/>
        <v>7.8125E-3</v>
      </c>
      <c r="J25" s="3">
        <f t="shared" si="0"/>
        <v>3.90625E-3</v>
      </c>
      <c r="K25" s="3">
        <f t="shared" si="0"/>
        <v>1.953125E-3</v>
      </c>
      <c r="L25" s="3">
        <f t="shared" si="0"/>
        <v>9.765625E-4</v>
      </c>
      <c r="M25" s="3">
        <v>0</v>
      </c>
    </row>
    <row r="26" spans="1:13" x14ac:dyDescent="0.2">
      <c r="A26" s="4" t="s">
        <v>32</v>
      </c>
      <c r="B26">
        <v>0.10450000315904617</v>
      </c>
      <c r="C26">
        <v>8.619999885559082E-2</v>
      </c>
      <c r="D26">
        <v>9.0199999511241913E-2</v>
      </c>
      <c r="E26">
        <v>9.0099997818470001E-2</v>
      </c>
      <c r="F26">
        <v>7.6300002634525299E-2</v>
      </c>
      <c r="G26">
        <v>9.3500003218650818E-2</v>
      </c>
      <c r="H26">
        <v>8.3400003612041473E-2</v>
      </c>
      <c r="I26">
        <v>0.13019999861717224</v>
      </c>
      <c r="J26">
        <v>0.85339999198913574</v>
      </c>
      <c r="K26">
        <v>1.25</v>
      </c>
      <c r="L26">
        <v>1.2651000022888184</v>
      </c>
      <c r="M26">
        <v>1.2315000295639038</v>
      </c>
    </row>
    <row r="27" spans="1:13" x14ac:dyDescent="0.2">
      <c r="A27" s="4" t="s">
        <v>33</v>
      </c>
      <c r="B27">
        <v>0.35330000519752502</v>
      </c>
      <c r="C27">
        <v>0.24969999492168427</v>
      </c>
      <c r="D27">
        <v>0.2370000034570694</v>
      </c>
      <c r="E27">
        <v>0.16629999876022339</v>
      </c>
      <c r="F27">
        <v>0.18029999732971191</v>
      </c>
      <c r="G27">
        <v>0.21250000596046448</v>
      </c>
      <c r="H27">
        <v>0.22210000455379486</v>
      </c>
      <c r="I27">
        <v>0.57450002431869507</v>
      </c>
      <c r="J27">
        <v>1.2785999774932861</v>
      </c>
      <c r="K27">
        <v>1.2455999851226807</v>
      </c>
      <c r="L27">
        <v>1.285599946975708</v>
      </c>
      <c r="M27">
        <v>1.2465000152587891</v>
      </c>
    </row>
    <row r="28" spans="1:13" x14ac:dyDescent="0.2">
      <c r="A28" s="4" t="s">
        <v>34</v>
      </c>
      <c r="B28">
        <v>9.0700000524520874E-2</v>
      </c>
      <c r="C28">
        <v>9.0199999511241913E-2</v>
      </c>
      <c r="D28">
        <v>6.679999828338623E-2</v>
      </c>
      <c r="E28">
        <v>7.2499997913837433E-2</v>
      </c>
      <c r="F28">
        <v>8.0099999904632568E-2</v>
      </c>
      <c r="G28">
        <v>9.3900002539157867E-2</v>
      </c>
      <c r="H28">
        <v>0.10639999806880951</v>
      </c>
      <c r="I28">
        <v>0.11379999667406082</v>
      </c>
      <c r="J28">
        <v>0.66909998655319214</v>
      </c>
      <c r="K28">
        <v>1.2386000156402588</v>
      </c>
      <c r="L28">
        <v>1.2755999565124512</v>
      </c>
      <c r="M28">
        <v>1.2736999988555908</v>
      </c>
    </row>
    <row r="29" spans="1:13" x14ac:dyDescent="0.2">
      <c r="A29" s="4" t="s">
        <v>35</v>
      </c>
      <c r="B29">
        <v>0.12870000302791595</v>
      </c>
      <c r="C29">
        <v>7.9300001263618469E-2</v>
      </c>
      <c r="D29">
        <v>7.4500001966953278E-2</v>
      </c>
      <c r="E29">
        <v>7.1000002324581146E-2</v>
      </c>
      <c r="F29">
        <v>7.590000331401825E-2</v>
      </c>
      <c r="G29">
        <v>9.08999964594841E-2</v>
      </c>
      <c r="H29">
        <v>8.6499996483325958E-2</v>
      </c>
      <c r="I29">
        <v>0.11159999668598175</v>
      </c>
      <c r="J29">
        <v>1.1244000196456909</v>
      </c>
      <c r="K29">
        <v>1.2697000503540039</v>
      </c>
      <c r="L29">
        <v>1.2955000400543213</v>
      </c>
      <c r="M29">
        <v>1.242400050163269</v>
      </c>
    </row>
    <row r="30" spans="1:13" x14ac:dyDescent="0.2">
      <c r="A30" s="4" t="s">
        <v>36</v>
      </c>
      <c r="B30">
        <v>0.26759999990463257</v>
      </c>
      <c r="C30">
        <v>0.13130000233650208</v>
      </c>
      <c r="D30">
        <v>0.10100000351667404</v>
      </c>
      <c r="E30">
        <v>0.15960000455379486</v>
      </c>
      <c r="F30">
        <v>0.10270000249147415</v>
      </c>
      <c r="G30">
        <v>0.1590999960899353</v>
      </c>
      <c r="H30">
        <v>0.22759999334812164</v>
      </c>
      <c r="I30">
        <v>0.42969998717308044</v>
      </c>
      <c r="J30">
        <v>1.2970999479293823</v>
      </c>
      <c r="K30">
        <v>1.2184000015258789</v>
      </c>
      <c r="L30">
        <v>1.2572000026702881</v>
      </c>
      <c r="M30">
        <v>1.3256000280380249</v>
      </c>
    </row>
    <row r="31" spans="1:13" x14ac:dyDescent="0.2">
      <c r="A31" s="4">
        <v>1265</v>
      </c>
      <c r="B31">
        <v>0.16009999811649323</v>
      </c>
      <c r="C31">
        <v>0.11729999631643295</v>
      </c>
      <c r="D31">
        <v>0.10949999839067459</v>
      </c>
      <c r="E31">
        <v>0.11209999769926071</v>
      </c>
      <c r="F31">
        <v>0.11429999768733978</v>
      </c>
      <c r="G31">
        <v>0.12139999866485596</v>
      </c>
      <c r="H31">
        <v>0.12809999287128448</v>
      </c>
      <c r="I31">
        <v>0.15219999849796295</v>
      </c>
      <c r="J31">
        <v>0.56800001859664917</v>
      </c>
      <c r="K31">
        <v>1.0882999897003174</v>
      </c>
      <c r="L31">
        <v>1.2648999691009521</v>
      </c>
      <c r="M31">
        <v>1.2418999671936035</v>
      </c>
    </row>
    <row r="32" spans="1:13" x14ac:dyDescent="0.2">
      <c r="A32" s="4" t="s">
        <v>37</v>
      </c>
      <c r="B32">
        <v>7.680000364780426E-2</v>
      </c>
      <c r="C32">
        <v>6.2199998646974564E-2</v>
      </c>
      <c r="D32">
        <v>6.1799999326467514E-2</v>
      </c>
      <c r="E32">
        <v>6.1299998313188553E-2</v>
      </c>
      <c r="F32">
        <v>6.1799999326467514E-2</v>
      </c>
      <c r="G32">
        <v>6.0699999332427979E-2</v>
      </c>
      <c r="H32">
        <v>6.120000034570694E-2</v>
      </c>
      <c r="I32">
        <v>6.1999998986721039E-2</v>
      </c>
      <c r="J32">
        <v>6.0400001704692841E-2</v>
      </c>
      <c r="K32">
        <v>6.1599999666213989E-2</v>
      </c>
      <c r="L32">
        <v>6.1999998986721039E-2</v>
      </c>
      <c r="M32">
        <v>6.1400000005960464E-2</v>
      </c>
    </row>
    <row r="37" spans="1:2" x14ac:dyDescent="0.2">
      <c r="A37" t="s">
        <v>38</v>
      </c>
      <c r="B37" s="2" t="s">
        <v>43</v>
      </c>
    </row>
  </sheetData>
  <conditionalFormatting sqref="B26:M32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E15A4-2C7B-9E4B-BA58-BCCC260A9598}">
  <dimension ref="A1:M37"/>
  <sheetViews>
    <sheetView workbookViewId="0">
      <selection activeCell="D12" sqref="D12"/>
    </sheetView>
  </sheetViews>
  <sheetFormatPr baseColWidth="10" defaultColWidth="8.83203125" defaultRowHeight="16" x14ac:dyDescent="0.2"/>
  <sheetData>
    <row r="1" spans="1:9" x14ac:dyDescent="0.2">
      <c r="A1" t="s">
        <v>0</v>
      </c>
      <c r="E1" t="s">
        <v>1</v>
      </c>
    </row>
    <row r="2" spans="1:9" x14ac:dyDescent="0.2">
      <c r="A2" t="s">
        <v>2</v>
      </c>
      <c r="E2" t="s">
        <v>3</v>
      </c>
      <c r="I2" t="s">
        <v>4</v>
      </c>
    </row>
    <row r="3" spans="1:9" x14ac:dyDescent="0.2">
      <c r="A3" t="s">
        <v>5</v>
      </c>
      <c r="E3" t="s">
        <v>6</v>
      </c>
    </row>
    <row r="5" spans="1:9" x14ac:dyDescent="0.2">
      <c r="A5" t="s">
        <v>7</v>
      </c>
      <c r="B5" s="1">
        <v>46162</v>
      </c>
    </row>
    <row r="6" spans="1:9" x14ac:dyDescent="0.2">
      <c r="A6" t="s">
        <v>8</v>
      </c>
      <c r="B6" s="2" t="s">
        <v>9</v>
      </c>
    </row>
    <row r="9" spans="1:9" x14ac:dyDescent="0.2">
      <c r="A9" t="s">
        <v>10</v>
      </c>
      <c r="E9" t="s">
        <v>11</v>
      </c>
    </row>
    <row r="10" spans="1:9" x14ac:dyDescent="0.2">
      <c r="A10" t="s">
        <v>12</v>
      </c>
      <c r="E10" t="s">
        <v>13</v>
      </c>
    </row>
    <row r="11" spans="1:9" x14ac:dyDescent="0.2">
      <c r="A11" t="s">
        <v>14</v>
      </c>
      <c r="E11" t="s">
        <v>15</v>
      </c>
    </row>
    <row r="12" spans="1:9" x14ac:dyDescent="0.2">
      <c r="A12" t="s">
        <v>16</v>
      </c>
    </row>
    <row r="15" spans="1:9" x14ac:dyDescent="0.2">
      <c r="A15" t="s">
        <v>17</v>
      </c>
    </row>
    <row r="16" spans="1:9" x14ac:dyDescent="0.2">
      <c r="A16" t="s">
        <v>18</v>
      </c>
      <c r="E16" t="s">
        <v>19</v>
      </c>
    </row>
    <row r="17" spans="1:13" x14ac:dyDescent="0.2">
      <c r="A17" t="s">
        <v>20</v>
      </c>
      <c r="E17">
        <v>600</v>
      </c>
      <c r="F17" t="s">
        <v>21</v>
      </c>
    </row>
    <row r="18" spans="1:13" x14ac:dyDescent="0.2">
      <c r="A18" t="s">
        <v>22</v>
      </c>
      <c r="E18">
        <v>9</v>
      </c>
      <c r="F18" t="s">
        <v>21</v>
      </c>
    </row>
    <row r="19" spans="1:13" x14ac:dyDescent="0.2">
      <c r="A19" t="s">
        <v>23</v>
      </c>
      <c r="E19">
        <v>25</v>
      </c>
    </row>
    <row r="20" spans="1:13" x14ac:dyDescent="0.2">
      <c r="A20" t="s">
        <v>24</v>
      </c>
      <c r="E20">
        <v>0</v>
      </c>
      <c r="F20" t="s">
        <v>25</v>
      </c>
    </row>
    <row r="21" spans="1:13" x14ac:dyDescent="0.2">
      <c r="A21" t="s">
        <v>26</v>
      </c>
      <c r="E21" t="s">
        <v>27</v>
      </c>
    </row>
    <row r="22" spans="1:13" x14ac:dyDescent="0.2">
      <c r="A22" t="s">
        <v>28</v>
      </c>
      <c r="B22" s="2" t="s">
        <v>29</v>
      </c>
    </row>
    <row r="24" spans="1:13" x14ac:dyDescent="0.2">
      <c r="B24" t="s">
        <v>30</v>
      </c>
    </row>
    <row r="25" spans="1:13" x14ac:dyDescent="0.2">
      <c r="A25" s="3" t="s">
        <v>31</v>
      </c>
      <c r="B25" s="3">
        <v>1</v>
      </c>
      <c r="C25" s="3">
        <f>B25/2</f>
        <v>0.5</v>
      </c>
      <c r="D25" s="3">
        <f t="shared" ref="D25:L25" si="0">C25/2</f>
        <v>0.25</v>
      </c>
      <c r="E25" s="3">
        <f t="shared" si="0"/>
        <v>0.125</v>
      </c>
      <c r="F25" s="3">
        <f t="shared" si="0"/>
        <v>6.25E-2</v>
      </c>
      <c r="G25" s="3">
        <f t="shared" si="0"/>
        <v>3.125E-2</v>
      </c>
      <c r="H25" s="3">
        <f t="shared" si="0"/>
        <v>1.5625E-2</v>
      </c>
      <c r="I25" s="3">
        <f t="shared" si="0"/>
        <v>7.8125E-3</v>
      </c>
      <c r="J25" s="3">
        <f t="shared" si="0"/>
        <v>3.90625E-3</v>
      </c>
      <c r="K25" s="3">
        <f t="shared" si="0"/>
        <v>1.953125E-3</v>
      </c>
      <c r="L25" s="3">
        <f t="shared" si="0"/>
        <v>9.765625E-4</v>
      </c>
      <c r="M25" s="3">
        <v>0</v>
      </c>
    </row>
    <row r="26" spans="1:13" x14ac:dyDescent="0.2">
      <c r="A26" s="4" t="s">
        <v>32</v>
      </c>
      <c r="B26">
        <v>9.9699996411800385E-2</v>
      </c>
      <c r="C26">
        <v>0.10029999911785126</v>
      </c>
      <c r="D26">
        <v>9.08999964594841E-2</v>
      </c>
      <c r="E26">
        <v>9.6799999475479126E-2</v>
      </c>
      <c r="F26">
        <v>8.6900003254413605E-2</v>
      </c>
      <c r="G26">
        <v>8.3499997854232788E-2</v>
      </c>
      <c r="H26">
        <v>0.11590000241994858</v>
      </c>
      <c r="I26">
        <v>0.11680000275373459</v>
      </c>
      <c r="J26">
        <v>0.91380000114440918</v>
      </c>
      <c r="K26">
        <v>1.2527999877929688</v>
      </c>
      <c r="L26">
        <v>1.309999942779541</v>
      </c>
      <c r="M26">
        <v>1.2684999704360962</v>
      </c>
    </row>
    <row r="27" spans="1:13" x14ac:dyDescent="0.2">
      <c r="A27" s="4" t="s">
        <v>33</v>
      </c>
      <c r="B27">
        <v>0.36349999904632568</v>
      </c>
      <c r="C27">
        <v>0.32249999046325684</v>
      </c>
      <c r="D27">
        <v>0.17870000004768372</v>
      </c>
      <c r="E27">
        <v>0.1136000007390976</v>
      </c>
      <c r="F27">
        <v>0.10040000081062317</v>
      </c>
      <c r="G27">
        <v>0.18889999389648438</v>
      </c>
      <c r="H27">
        <v>0.27099999785423279</v>
      </c>
      <c r="I27">
        <v>0.79240000247955322</v>
      </c>
      <c r="J27">
        <v>1.2924000024795532</v>
      </c>
      <c r="K27">
        <v>1.271399974822998</v>
      </c>
      <c r="L27">
        <v>1.2919000387191772</v>
      </c>
      <c r="M27">
        <v>1.2716000080108643</v>
      </c>
    </row>
    <row r="28" spans="1:13" x14ac:dyDescent="0.2">
      <c r="A28" s="4" t="s">
        <v>34</v>
      </c>
      <c r="B28">
        <v>0.11069999635219574</v>
      </c>
      <c r="C28">
        <v>8.9500002562999725E-2</v>
      </c>
      <c r="D28">
        <v>8.829999715089798E-2</v>
      </c>
      <c r="E28">
        <v>7.1699999272823334E-2</v>
      </c>
      <c r="F28">
        <v>7.7600002288818359E-2</v>
      </c>
      <c r="G28">
        <v>8.7099999189376831E-2</v>
      </c>
      <c r="H28">
        <v>9.6100002527236938E-2</v>
      </c>
      <c r="I28">
        <v>0.1379999965429306</v>
      </c>
      <c r="J28">
        <v>0.72759997844696045</v>
      </c>
      <c r="K28">
        <v>1.3004000186920166</v>
      </c>
      <c r="L28">
        <v>1.3097000122070312</v>
      </c>
      <c r="M28">
        <v>1.2626999616622925</v>
      </c>
    </row>
    <row r="29" spans="1:13" x14ac:dyDescent="0.2">
      <c r="A29" s="4" t="s">
        <v>35</v>
      </c>
      <c r="B29">
        <v>0.12559999525547028</v>
      </c>
      <c r="C29">
        <v>9.7699999809265137E-2</v>
      </c>
      <c r="D29">
        <v>8.8200002908706665E-2</v>
      </c>
      <c r="E29">
        <v>7.4400000274181366E-2</v>
      </c>
      <c r="F29">
        <v>7.0000000298023224E-2</v>
      </c>
      <c r="G29">
        <v>9.3699999153614044E-2</v>
      </c>
      <c r="H29">
        <v>8.6000002920627594E-2</v>
      </c>
      <c r="I29">
        <v>0.1737000048160553</v>
      </c>
      <c r="J29">
        <v>1.1491999626159668</v>
      </c>
      <c r="K29">
        <v>1.3144999742507935</v>
      </c>
      <c r="L29">
        <v>1.2991000413894653</v>
      </c>
      <c r="M29">
        <v>1.281999945640564</v>
      </c>
    </row>
    <row r="30" spans="1:13" x14ac:dyDescent="0.2">
      <c r="A30" s="4" t="s">
        <v>36</v>
      </c>
      <c r="B30">
        <v>0.25150001049041748</v>
      </c>
      <c r="C30">
        <v>0.15049999952316284</v>
      </c>
      <c r="D30">
        <v>0.16259999573230743</v>
      </c>
      <c r="E30">
        <v>0.16470000147819519</v>
      </c>
      <c r="F30">
        <v>0.11180000007152557</v>
      </c>
      <c r="G30">
        <v>0.11699999868869781</v>
      </c>
      <c r="H30">
        <v>0.24009999632835388</v>
      </c>
      <c r="I30">
        <v>0.62999999523162842</v>
      </c>
      <c r="J30">
        <v>1.2467999458312988</v>
      </c>
      <c r="K30">
        <v>1.2815999984741211</v>
      </c>
      <c r="L30">
        <v>1.2691999673843384</v>
      </c>
      <c r="M30">
        <v>1.3269000053405762</v>
      </c>
    </row>
    <row r="31" spans="1:13" x14ac:dyDescent="0.2">
      <c r="A31" s="4">
        <v>1265</v>
      </c>
      <c r="B31">
        <v>0.14749999344348907</v>
      </c>
      <c r="C31">
        <v>0.12770000100135803</v>
      </c>
      <c r="D31">
        <v>0.12939999997615814</v>
      </c>
      <c r="E31">
        <v>0.12620000541210175</v>
      </c>
      <c r="F31">
        <v>0.11789999902248383</v>
      </c>
      <c r="G31">
        <v>0.12880000472068787</v>
      </c>
      <c r="H31">
        <v>0.13379999995231628</v>
      </c>
      <c r="I31">
        <v>0.23510000109672546</v>
      </c>
      <c r="J31">
        <v>0.8507000207901001</v>
      </c>
      <c r="K31">
        <v>1.2237000465393066</v>
      </c>
      <c r="L31">
        <v>1.2682000398635864</v>
      </c>
      <c r="M31">
        <v>1.2705999612808228</v>
      </c>
    </row>
    <row r="32" spans="1:13" x14ac:dyDescent="0.2">
      <c r="A32" s="4" t="s">
        <v>37</v>
      </c>
      <c r="B32">
        <v>6.1500001698732376E-2</v>
      </c>
      <c r="C32">
        <v>6.1400000005960464E-2</v>
      </c>
      <c r="D32">
        <v>6.120000034570694E-2</v>
      </c>
      <c r="E32">
        <v>6.1000000685453415E-2</v>
      </c>
      <c r="F32">
        <v>6.1299998313188553E-2</v>
      </c>
      <c r="G32">
        <v>6.0300000011920929E-2</v>
      </c>
      <c r="H32">
        <v>6.080000102519989E-2</v>
      </c>
      <c r="I32">
        <v>6.1599999666213989E-2</v>
      </c>
      <c r="J32">
        <v>5.9900000691413879E-2</v>
      </c>
      <c r="K32">
        <v>6.1799999326467514E-2</v>
      </c>
      <c r="L32">
        <v>6.1999998986721039E-2</v>
      </c>
      <c r="M32">
        <v>6.1500001698732376E-2</v>
      </c>
    </row>
    <row r="37" spans="1:2" x14ac:dyDescent="0.2">
      <c r="A37" t="s">
        <v>38</v>
      </c>
      <c r="B37" s="2" t="s">
        <v>39</v>
      </c>
    </row>
  </sheetData>
  <conditionalFormatting sqref="B26:M32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POS3</vt:lpstr>
      <vt:lpstr>POS2</vt:lpstr>
      <vt:lpstr>POS1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Gervais</dc:creator>
  <cp:lastModifiedBy>Nicholas Gervais</cp:lastModifiedBy>
  <dcterms:created xsi:type="dcterms:W3CDTF">2026-05-26T13:58:17Z</dcterms:created>
  <dcterms:modified xsi:type="dcterms:W3CDTF">2026-05-26T13:59:15Z</dcterms:modified>
</cp:coreProperties>
</file>