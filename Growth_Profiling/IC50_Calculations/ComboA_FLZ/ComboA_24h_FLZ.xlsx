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/Desktop/ChrR/IC50 Calculations/ComboA_FLZ/"/>
    </mc:Choice>
  </mc:AlternateContent>
  <xr:revisionPtr revIDLastSave="0" documentId="13_ncr:1_{8EFD0B32-0C73-5F4D-A864-C426C9B50A0C}" xr6:coauthVersionLast="47" xr6:coauthVersionMax="47" xr10:uidLastSave="{00000000-0000-0000-0000-000000000000}"/>
  <bookViews>
    <workbookView xWindow="0" yWindow="760" windowWidth="25880" windowHeight="15120" activeTab="5" xr2:uid="{B85C0B26-CF39-4EC4-8E03-1D1733F0177F}"/>
  </bookViews>
  <sheets>
    <sheet name="FLZ_Set2_Rep3" sheetId="16" r:id="rId1"/>
    <sheet name="FLZ_Set2_Rep2" sheetId="15" r:id="rId2"/>
    <sheet name="FLZ_Set2_Rep1" sheetId="14" r:id="rId3"/>
    <sheet name="FLZ_Set1_Rep3" sheetId="13" r:id="rId4"/>
    <sheet name="FLZ_Set1_Rep2" sheetId="12" r:id="rId5"/>
    <sheet name="FLZ_Set1_Rep1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5" i="16" l="1"/>
  <c r="D25" i="16" s="1"/>
  <c r="E25" i="16" s="1"/>
  <c r="F25" i="16" s="1"/>
  <c r="G25" i="16" s="1"/>
  <c r="H25" i="16" s="1"/>
  <c r="I25" i="16" s="1"/>
  <c r="J25" i="16" s="1"/>
  <c r="K25" i="16" s="1"/>
  <c r="L25" i="16" s="1"/>
  <c r="C25" i="15"/>
  <c r="D25" i="15" s="1"/>
  <c r="E25" i="15" s="1"/>
  <c r="F25" i="15" s="1"/>
  <c r="G25" i="15" s="1"/>
  <c r="H25" i="15" s="1"/>
  <c r="I25" i="15" s="1"/>
  <c r="J25" i="15" s="1"/>
  <c r="K25" i="15" s="1"/>
  <c r="L25" i="15" s="1"/>
  <c r="C24" i="14"/>
  <c r="D24" i="14" s="1"/>
  <c r="E24" i="14" s="1"/>
  <c r="F24" i="14" s="1"/>
  <c r="G24" i="14" s="1"/>
  <c r="H24" i="14" s="1"/>
  <c r="I24" i="14" s="1"/>
  <c r="J24" i="14" s="1"/>
  <c r="K24" i="14" s="1"/>
  <c r="L24" i="14" s="1"/>
  <c r="C24" i="13"/>
  <c r="D24" i="13" s="1"/>
  <c r="E24" i="13" s="1"/>
  <c r="F24" i="13" s="1"/>
  <c r="G24" i="13" s="1"/>
  <c r="H24" i="13" s="1"/>
  <c r="I24" i="13" s="1"/>
  <c r="J24" i="13" s="1"/>
  <c r="K24" i="13" s="1"/>
  <c r="L24" i="13" s="1"/>
  <c r="C24" i="12"/>
  <c r="D24" i="12" s="1"/>
  <c r="E24" i="12" s="1"/>
  <c r="F24" i="12" s="1"/>
  <c r="G24" i="12" s="1"/>
  <c r="H24" i="12" s="1"/>
  <c r="I24" i="12" s="1"/>
  <c r="J24" i="12" s="1"/>
  <c r="K24" i="12" s="1"/>
  <c r="L24" i="12" s="1"/>
  <c r="C24" i="11"/>
  <c r="D24" i="11" s="1"/>
  <c r="E24" i="11" s="1"/>
  <c r="F24" i="11" s="1"/>
  <c r="G24" i="11" s="1"/>
  <c r="H24" i="11" s="1"/>
  <c r="I24" i="11" s="1"/>
  <c r="J24" i="11" s="1"/>
  <c r="K24" i="11" s="1"/>
  <c r="L24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Shapiro Lab PC 2</author>
  </authors>
  <commentList>
    <comment ref="E1" authorId="0" shapeId="0" xr:uid="{32A5AEF9-12FA-4573-B743-2246145145CC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7952D1B-82FA-4F86-A517-A3FC825154DE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CUV,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Shapiro Lab PC 2</author>
  </authors>
  <commentList>
    <comment ref="E1" authorId="0" shapeId="0" xr:uid="{4D206168-4090-4A54-9CCD-E1151C97D6FC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7A07784-7ECF-4D3A-95B3-699C18D6A94F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CUV,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Shapiro Lab PC 2</author>
  </authors>
  <commentList>
    <comment ref="E1" authorId="0" shapeId="0" xr:uid="{87827ED2-4B65-4441-995A-6CEA7B8F27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AA41D397-65B5-483A-B949-18C31237BFFD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CUV,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Shapiro Lab PC 2</author>
  </authors>
  <commentList>
    <comment ref="E1" authorId="0" shapeId="0" xr:uid="{2B8F24D3-C678-4E23-A49F-9264C3FE0264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8A3DFF6-A511-4DBB-A689-450D5C802B73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CUV,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Shapiro Lab PC 2</author>
  </authors>
  <commentList>
    <comment ref="E1" authorId="0" shapeId="0" xr:uid="{36F05E5F-A508-4403-AD65-C4EF656FD071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4496BF87-8BA7-46F1-A7AA-7C8FC60C9F43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CUV,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Shapiro Lab PC 2</author>
  </authors>
  <commentList>
    <comment ref="E1" authorId="0" shapeId="0" xr:uid="{2C65DD11-D09F-40CB-AF25-11323B92B2C7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6721C34C-5507-4C01-8227-20A732DA8B93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CUV,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<sst xmlns="http://schemas.openxmlformats.org/spreadsheetml/2006/main" count="213" uniqueCount="54">
  <si>
    <t>Application: Tecan i-control</t>
  </si>
  <si>
    <t>Tecan i-control , 2.0.10.0</t>
  </si>
  <si>
    <t>Device: infinite 200Pro</t>
  </si>
  <si>
    <t>Serial number: 1903010769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</si>
  <si>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</si>
  <si>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</si>
  <si>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</si>
  <si>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</si>
  <si>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</si>
  <si>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System</t>
  </si>
  <si>
    <t>LAPTOP-P4MII5TR</t>
  </si>
  <si>
    <t>User</t>
  </si>
  <si>
    <t>LAPTOP-P4MII5TR\Shapiro Lab PC 2</t>
  </si>
  <si>
    <t>Plate</t>
  </si>
  <si>
    <t>VWR 96 Flat Bottom Transparent polyethylene 1086-562 [VWR-transparent-pet.pdfx]</t>
  </si>
  <si>
    <t>Plate-ID (Stacker)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</si>
  <si>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</si>
  <si>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</si>
  <si>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</si>
  <si>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</si>
  <si>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</si>
  <si>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</si>
  <si>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</si>
  <si>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</si>
  <si>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</si>
  <si>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</si>
  <si>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Start Time:</t>
  </si>
  <si>
    <t>&lt;&gt;</t>
  </si>
  <si>
    <t>End Time:</t>
  </si>
  <si>
    <t>Blank</t>
  </si>
  <si>
    <t>Temperature: 28.4 °C</t>
  </si>
  <si>
    <t>B1-G12</t>
  </si>
  <si>
    <t>fRS1</t>
  </si>
  <si>
    <t>4:08:55 PM</t>
  </si>
  <si>
    <t>2026-04-22 4:08:55 PM</t>
  </si>
  <si>
    <t>2026-04-22 4:10:14 PM</t>
  </si>
  <si>
    <t>4:10:37 PM</t>
  </si>
  <si>
    <t>2026-04-22 4:10:37 PM</t>
  </si>
  <si>
    <t>Temperature: 28.5 °C</t>
  </si>
  <si>
    <t>2026-04-22 4:11:56 PM</t>
  </si>
  <si>
    <t>4:12:19 PM</t>
  </si>
  <si>
    <t>2026-04-22 4:12:19 PM</t>
  </si>
  <si>
    <t>2026-04-22 4:13:37 PM</t>
  </si>
  <si>
    <t>4:14:06 PM</t>
  </si>
  <si>
    <t>2026-04-22 4:14:06 PM</t>
  </si>
  <si>
    <t>Temperature: 28.6 °C</t>
  </si>
  <si>
    <t>Empty</t>
  </si>
  <si>
    <t>2026-04-22 4:15:25 PM</t>
  </si>
  <si>
    <t>4:15:51 PM</t>
  </si>
  <si>
    <t>2026-04-22 4:15:51 PM</t>
  </si>
  <si>
    <t>2026-04-22 4:16:52 PM</t>
  </si>
  <si>
    <t>4:17:19 PM</t>
  </si>
  <si>
    <t>2026-04-22 4:17:19 PM</t>
  </si>
  <si>
    <t>2026-04-22 4:18:20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</si>
</sst>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  <xf numFmtId="0" fontId="1" fillId="9" borderId="0" xfId="0" applyFont="1" applyFill="1" applyAlignment="1">
      <alignment horizontal="right"/>
    </xf>
  </cellXfs>
  <cellStyles count="8">
    <cellStyle name="Normal" xfId="0" builtinId="0"/>
    <cellStyle name="Tecan.At.Excel.Attenuation" xfId="6" xr:uid="{ED4AFC24-7520-469A-BD2C-E7AA8AD2491F}"/>
    <cellStyle name="Tecan.At.Excel.AutoGain_0" xfId="7" xr:uid="{7AF66A1D-7321-453E-9B18-F63DD602C2BB}"/>
    <cellStyle name="Tecan.At.Excel.Error" xfId="1" xr:uid="{3BF49DD3-BFB7-40CB-B176-7008F430F091}"/>
    <cellStyle name="Tecan.At.Excel.GFactorAndMeasurementBlank" xfId="5" xr:uid="{1DEB6AE9-3475-4391-8FA2-C6C704A458E9}"/>
    <cellStyle name="Tecan.At.Excel.GFactorBlank" xfId="3" xr:uid="{A1453579-7038-4C29-945D-A0556DF2CEC8}"/>
    <cellStyle name="Tecan.At.Excel.GFactorReference" xfId="4" xr:uid="{5943C942-1313-4AF5-869F-C21B03ED67FE}"/>
    <cellStyle name="Tecan.At.Excel.MeasurementBlank" xfId="2" xr:uid="{852A9FAF-C278-44D1-ADE2-15C7288367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3AC6-DFF4-4E76-9BE1-E9DFB4C16879}">
  <dimension ref="A1:M36"/>
  <sheetViews>
    <sheetView topLeftCell="A13" workbookViewId="0">
      <selection activeCell="D34" sqref="D34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46134</v>
      </c>
    </row>
    <row r="6" spans="1:9" x14ac:dyDescent="0.2">
      <c r="A6" t="s">
        <v>8</v>
      </c>
      <c r="B6" s="2" t="s">
        <v>51</v>
      </c>
    </row>
    <row r="9" spans="1:9" x14ac:dyDescent="0.2">
      <c r="A9" t="s">
        <v>9</v>
      </c>
      <c r="E9" t="s">
        <v>10</v>
      </c>
    </row>
    <row r="10" spans="1:9" x14ac:dyDescent="0.2">
      <c r="A10" t="s">
        <v>11</v>
      </c>
      <c r="E10" t="s">
        <v>12</v>
      </c>
    </row>
    <row r="11" spans="1:9" x14ac:dyDescent="0.2">
      <c r="A11" t="s">
        <v>13</v>
      </c>
      <c r="E11" t="s">
        <v>14</v>
      </c>
    </row>
    <row r="12" spans="1:9" x14ac:dyDescent="0.2">
      <c r="A12" t="s">
        <v>15</v>
      </c>
    </row>
    <row r="15" spans="1:9" x14ac:dyDescent="0.2">
      <c r="A15" t="s">
        <v>16</v>
      </c>
    </row>
    <row r="16" spans="1:9" x14ac:dyDescent="0.2">
      <c r="A16" t="s">
        <v>17</v>
      </c>
      <c r="E16" t="s">
        <v>18</v>
      </c>
    </row>
    <row r="17" spans="1:13" x14ac:dyDescent="0.2">
      <c r="A17" t="s">
        <v>19</v>
      </c>
      <c r="E17">
        <v>600</v>
      </c>
      <c r="F17" t="s">
        <v>20</v>
      </c>
    </row>
    <row r="18" spans="1:13" x14ac:dyDescent="0.2">
      <c r="A18" t="s">
        <v>21</v>
      </c>
      <c r="E18">
        <v>9</v>
      </c>
      <c r="F18" t="s">
        <v>20</v>
      </c>
    </row>
    <row r="19" spans="1:13" x14ac:dyDescent="0.2">
      <c r="A19" t="s">
        <v>22</v>
      </c>
      <c r="E19">
        <v>25</v>
      </c>
    </row>
    <row r="20" spans="1:13" x14ac:dyDescent="0.2">
      <c r="A20" t="s">
        <v>23</v>
      </c>
      <c r="E20">
        <v>0</v>
      </c>
      <c r="F20" t="s">
        <v>24</v>
      </c>
    </row>
    <row r="21" spans="1:13" x14ac:dyDescent="0.2">
      <c r="A21" t="s">
        <v>25</v>
      </c>
      <c r="E21" t="s">
        <v>31</v>
      </c>
    </row>
    <row r="22" spans="1:13" x14ac:dyDescent="0.2">
      <c r="A22" t="s">
        <v>26</v>
      </c>
      <c r="B22" s="2" t="s">
        <v>52</v>
      </c>
    </row>
    <row r="24" spans="1:13" x14ac:dyDescent="0.2">
      <c r="B24" t="s">
        <v>45</v>
      </c>
    </row>
    <row r="25" spans="1:13" x14ac:dyDescent="0.2">
      <c r="A25" s="3" t="s">
        <v>27</v>
      </c>
      <c r="B25" s="3">
        <v>64</v>
      </c>
      <c r="C25" s="3">
        <f>B25/2</f>
        <v>32</v>
      </c>
      <c r="D25" s="3">
        <f t="shared" ref="D25:L25" si="0">C25/2</f>
        <v>16</v>
      </c>
      <c r="E25" s="3">
        <f t="shared" si="0"/>
        <v>8</v>
      </c>
      <c r="F25" s="3">
        <f t="shared" si="0"/>
        <v>4</v>
      </c>
      <c r="G25" s="3">
        <f t="shared" si="0"/>
        <v>2</v>
      </c>
      <c r="H25" s="3">
        <f t="shared" si="0"/>
        <v>1</v>
      </c>
      <c r="I25" s="3">
        <f t="shared" si="0"/>
        <v>0.5</v>
      </c>
      <c r="J25" s="3">
        <f t="shared" si="0"/>
        <v>0.25</v>
      </c>
      <c r="K25" s="3">
        <f t="shared" si="0"/>
        <v>0.125</v>
      </c>
      <c r="L25" s="3">
        <f t="shared" si="0"/>
        <v>6.25E-2</v>
      </c>
      <c r="M25" s="3">
        <v>0</v>
      </c>
    </row>
    <row r="26" spans="1:13" x14ac:dyDescent="0.2">
      <c r="A26" s="4" t="s">
        <v>32</v>
      </c>
      <c r="B26">
        <v>0.17749999463558197</v>
      </c>
      <c r="C26">
        <v>0.16599999368190765</v>
      </c>
      <c r="D26">
        <v>0.14110000431537628</v>
      </c>
      <c r="E26">
        <v>0.15539999306201935</v>
      </c>
      <c r="F26">
        <v>0.15000000596046448</v>
      </c>
      <c r="G26">
        <v>0.17460000514984131</v>
      </c>
      <c r="H26">
        <v>0.16359999775886536</v>
      </c>
      <c r="I26">
        <v>0.2257000058889389</v>
      </c>
      <c r="J26">
        <v>0.37209999561309814</v>
      </c>
      <c r="K26">
        <v>1.2893999814987183</v>
      </c>
      <c r="L26">
        <v>1.2913000583648682</v>
      </c>
      <c r="M26">
        <v>1.3214999437332153</v>
      </c>
    </row>
    <row r="27" spans="1:13" x14ac:dyDescent="0.2">
      <c r="A27" s="4">
        <v>1050</v>
      </c>
      <c r="B27">
        <v>0.4041999876499176</v>
      </c>
      <c r="C27">
        <v>0.32449999451637268</v>
      </c>
      <c r="D27">
        <v>0.23720000684261322</v>
      </c>
      <c r="E27">
        <v>0.23389999568462372</v>
      </c>
      <c r="F27">
        <v>0.32069998979568481</v>
      </c>
      <c r="G27">
        <v>0.29829999804496765</v>
      </c>
      <c r="H27">
        <v>0.35580000281333923</v>
      </c>
      <c r="I27">
        <v>0.3425000011920929</v>
      </c>
      <c r="J27">
        <v>0.61970001459121704</v>
      </c>
      <c r="K27">
        <v>1.263700008392334</v>
      </c>
      <c r="L27">
        <v>1.2892999649047852</v>
      </c>
      <c r="M27">
        <v>1.3138999938964844</v>
      </c>
    </row>
    <row r="28" spans="1:13" x14ac:dyDescent="0.2">
      <c r="A28" s="4">
        <v>1051</v>
      </c>
      <c r="B28">
        <v>0.43659999966621399</v>
      </c>
      <c r="C28">
        <v>0.28360000252723694</v>
      </c>
      <c r="D28">
        <v>0.18659999966621399</v>
      </c>
      <c r="E28">
        <v>0.23420000076293945</v>
      </c>
      <c r="F28">
        <v>0.31159999966621399</v>
      </c>
      <c r="G28">
        <v>0.43369999527931213</v>
      </c>
      <c r="H28">
        <v>0.49090000987052917</v>
      </c>
      <c r="I28">
        <v>0.51370000839233398</v>
      </c>
      <c r="J28">
        <v>0.58099997043609619</v>
      </c>
      <c r="K28">
        <v>1.2685999870300293</v>
      </c>
      <c r="L28">
        <v>1.2664999961853027</v>
      </c>
      <c r="M28">
        <v>1.2928999662399292</v>
      </c>
    </row>
    <row r="29" spans="1:13" x14ac:dyDescent="0.2">
      <c r="A29" s="4">
        <v>1052</v>
      </c>
      <c r="B29">
        <v>0.4189000129699707</v>
      </c>
      <c r="C29">
        <v>0.33090001344680786</v>
      </c>
      <c r="D29">
        <v>0.24639999866485596</v>
      </c>
      <c r="E29">
        <v>0.29660001397132874</v>
      </c>
      <c r="F29">
        <v>0.31479999423027039</v>
      </c>
      <c r="G29">
        <v>0.45170000195503235</v>
      </c>
      <c r="H29">
        <v>0.53020000457763672</v>
      </c>
      <c r="I29">
        <v>0.59249997138977051</v>
      </c>
      <c r="J29">
        <v>0.66439998149871826</v>
      </c>
      <c r="K29">
        <v>1.2795000076293945</v>
      </c>
      <c r="L29">
        <v>1.2848000526428223</v>
      </c>
      <c r="M29">
        <v>1.2922999858856201</v>
      </c>
    </row>
    <row r="30" spans="1:13" x14ac:dyDescent="0.2">
      <c r="A30" s="4">
        <v>1053</v>
      </c>
      <c r="B30">
        <v>0.45930001139640808</v>
      </c>
      <c r="C30">
        <v>0.34229999780654907</v>
      </c>
      <c r="D30">
        <v>0.38899999856948853</v>
      </c>
      <c r="E30">
        <v>0.32609999179840088</v>
      </c>
      <c r="F30">
        <v>0.30809998512268066</v>
      </c>
      <c r="G30">
        <v>0.44999998807907104</v>
      </c>
      <c r="H30">
        <v>0.57359999418258667</v>
      </c>
      <c r="I30">
        <v>0.67250001430511475</v>
      </c>
      <c r="J30">
        <v>0.86349999904632568</v>
      </c>
      <c r="K30">
        <v>1.2681000232696533</v>
      </c>
      <c r="L30">
        <v>1.2719999551773071</v>
      </c>
      <c r="M30">
        <v>1.2804000377655029</v>
      </c>
    </row>
    <row r="31" spans="1:13" x14ac:dyDescent="0.2">
      <c r="A31" s="4" t="s">
        <v>29</v>
      </c>
      <c r="B31">
        <v>6.1099998652935028E-2</v>
      </c>
      <c r="C31">
        <v>5.8699999004602432E-2</v>
      </c>
      <c r="D31">
        <v>5.7900000363588333E-2</v>
      </c>
      <c r="E31">
        <v>5.7599999010562897E-2</v>
      </c>
      <c r="F31">
        <v>5.7999998331069946E-2</v>
      </c>
      <c r="G31">
        <v>5.7199999690055847E-2</v>
      </c>
      <c r="H31">
        <v>5.7300001382827759E-2</v>
      </c>
      <c r="I31">
        <v>5.7999998331069946E-2</v>
      </c>
      <c r="J31">
        <v>5.9799998998641968E-2</v>
      </c>
      <c r="K31">
        <v>5.7399999350309372E-2</v>
      </c>
      <c r="L31">
        <v>5.7500001043081284E-2</v>
      </c>
      <c r="M31">
        <v>5.7999998331069946E-2</v>
      </c>
    </row>
    <row r="36" spans="1:2" x14ac:dyDescent="0.2">
      <c r="A36" t="s">
        <v>28</v>
      </c>
      <c r="B36" s="2" t="s">
        <v>53</v>
      </c>
    </row>
  </sheetData>
  <conditionalFormatting sqref="B26:M3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4AAF-1022-4D48-9CA4-10C9097D85C1}">
  <dimension ref="A1:M36"/>
  <sheetViews>
    <sheetView topLeftCell="A19" workbookViewId="0">
      <selection activeCell="K22" sqref="K22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46134</v>
      </c>
    </row>
    <row r="6" spans="1:9" x14ac:dyDescent="0.2">
      <c r="A6" t="s">
        <v>8</v>
      </c>
      <c r="B6" s="2" t="s">
        <v>48</v>
      </c>
    </row>
    <row r="9" spans="1:9" x14ac:dyDescent="0.2">
      <c r="A9" t="s">
        <v>9</v>
      </c>
      <c r="E9" t="s">
        <v>10</v>
      </c>
    </row>
    <row r="10" spans="1:9" x14ac:dyDescent="0.2">
      <c r="A10" t="s">
        <v>11</v>
      </c>
      <c r="E10" t="s">
        <v>12</v>
      </c>
    </row>
    <row r="11" spans="1:9" x14ac:dyDescent="0.2">
      <c r="A11" t="s">
        <v>13</v>
      </c>
      <c r="E11" t="s">
        <v>14</v>
      </c>
    </row>
    <row r="12" spans="1:9" x14ac:dyDescent="0.2">
      <c r="A12" t="s">
        <v>15</v>
      </c>
    </row>
    <row r="15" spans="1:9" x14ac:dyDescent="0.2">
      <c r="A15" t="s">
        <v>16</v>
      </c>
    </row>
    <row r="16" spans="1:9" x14ac:dyDescent="0.2">
      <c r="A16" t="s">
        <v>17</v>
      </c>
      <c r="E16" t="s">
        <v>18</v>
      </c>
    </row>
    <row r="17" spans="1:13" x14ac:dyDescent="0.2">
      <c r="A17" t="s">
        <v>19</v>
      </c>
      <c r="E17">
        <v>600</v>
      </c>
      <c r="F17" t="s">
        <v>20</v>
      </c>
    </row>
    <row r="18" spans="1:13" x14ac:dyDescent="0.2">
      <c r="A18" t="s">
        <v>21</v>
      </c>
      <c r="E18">
        <v>9</v>
      </c>
      <c r="F18" t="s">
        <v>20</v>
      </c>
    </row>
    <row r="19" spans="1:13" x14ac:dyDescent="0.2">
      <c r="A19" t="s">
        <v>22</v>
      </c>
      <c r="E19">
        <v>25</v>
      </c>
    </row>
    <row r="20" spans="1:13" x14ac:dyDescent="0.2">
      <c r="A20" t="s">
        <v>23</v>
      </c>
      <c r="E20">
        <v>0</v>
      </c>
      <c r="F20" t="s">
        <v>24</v>
      </c>
    </row>
    <row r="21" spans="1:13" x14ac:dyDescent="0.2">
      <c r="A21" t="s">
        <v>25</v>
      </c>
      <c r="E21" t="s">
        <v>31</v>
      </c>
    </row>
    <row r="22" spans="1:13" x14ac:dyDescent="0.2">
      <c r="A22" t="s">
        <v>26</v>
      </c>
      <c r="B22" s="2" t="s">
        <v>49</v>
      </c>
    </row>
    <row r="24" spans="1:13" x14ac:dyDescent="0.2">
      <c r="B24" t="s">
        <v>45</v>
      </c>
    </row>
    <row r="25" spans="1:13" x14ac:dyDescent="0.2">
      <c r="A25" s="3" t="s">
        <v>27</v>
      </c>
      <c r="B25" s="3">
        <v>64</v>
      </c>
      <c r="C25" s="3">
        <f>B25/2</f>
        <v>32</v>
      </c>
      <c r="D25" s="3">
        <f t="shared" ref="D25:L25" si="0">C25/2</f>
        <v>16</v>
      </c>
      <c r="E25" s="3">
        <f t="shared" si="0"/>
        <v>8</v>
      </c>
      <c r="F25" s="3">
        <f t="shared" si="0"/>
        <v>4</v>
      </c>
      <c r="G25" s="3">
        <f t="shared" si="0"/>
        <v>2</v>
      </c>
      <c r="H25" s="3">
        <f t="shared" si="0"/>
        <v>1</v>
      </c>
      <c r="I25" s="3">
        <f t="shared" si="0"/>
        <v>0.5</v>
      </c>
      <c r="J25" s="3">
        <f t="shared" si="0"/>
        <v>0.25</v>
      </c>
      <c r="K25" s="3">
        <f t="shared" si="0"/>
        <v>0.125</v>
      </c>
      <c r="L25" s="3">
        <f t="shared" si="0"/>
        <v>6.25E-2</v>
      </c>
      <c r="M25" s="3">
        <v>0</v>
      </c>
    </row>
    <row r="26" spans="1:13" x14ac:dyDescent="0.2">
      <c r="A26" s="4" t="s">
        <v>32</v>
      </c>
      <c r="B26">
        <v>0.1996999979019165</v>
      </c>
      <c r="C26">
        <v>0.16670000553131104</v>
      </c>
      <c r="D26">
        <v>0.14630000293254852</v>
      </c>
      <c r="E26">
        <v>0.15000000596046448</v>
      </c>
      <c r="F26">
        <v>0.15449999272823334</v>
      </c>
      <c r="G26">
        <v>0.16410000622272491</v>
      </c>
      <c r="H26">
        <v>0.17080000042915344</v>
      </c>
      <c r="I26">
        <v>0.24490000307559967</v>
      </c>
      <c r="J26">
        <v>0.2953999936580658</v>
      </c>
      <c r="K26">
        <v>1.2690999507904053</v>
      </c>
      <c r="L26">
        <v>1.2750999927520752</v>
      </c>
      <c r="M26">
        <v>1.3135999441146851</v>
      </c>
    </row>
    <row r="27" spans="1:13" x14ac:dyDescent="0.2">
      <c r="A27" s="4">
        <v>1050</v>
      </c>
      <c r="B27">
        <v>0.46819999814033508</v>
      </c>
      <c r="C27">
        <v>0.34439998865127563</v>
      </c>
      <c r="D27">
        <v>0.21340000629425049</v>
      </c>
      <c r="E27">
        <v>0.25400000810623169</v>
      </c>
      <c r="F27">
        <v>0.24860000610351562</v>
      </c>
      <c r="G27">
        <v>0.2750999927520752</v>
      </c>
      <c r="H27">
        <v>0.30950000882148743</v>
      </c>
      <c r="I27">
        <v>0.43759998679161072</v>
      </c>
      <c r="J27">
        <v>0.49709999561309814</v>
      </c>
      <c r="K27">
        <v>1.2273000478744507</v>
      </c>
      <c r="L27">
        <v>1.2613999843597412</v>
      </c>
      <c r="M27">
        <v>1.2905000448226929</v>
      </c>
    </row>
    <row r="28" spans="1:13" x14ac:dyDescent="0.2">
      <c r="A28" s="4">
        <v>1051</v>
      </c>
      <c r="B28">
        <v>0.54930001497268677</v>
      </c>
      <c r="C28">
        <v>0.19709999859333038</v>
      </c>
      <c r="D28">
        <v>0.16329999268054962</v>
      </c>
      <c r="E28">
        <v>0.18850000202655792</v>
      </c>
      <c r="F28">
        <v>0.14519999921321869</v>
      </c>
      <c r="G28">
        <v>0.3831000030040741</v>
      </c>
      <c r="H28">
        <v>0.33750000596046448</v>
      </c>
      <c r="I28">
        <v>0.38960000872612</v>
      </c>
      <c r="J28">
        <v>0.51340001821517944</v>
      </c>
      <c r="K28">
        <v>1.2267999649047852</v>
      </c>
      <c r="L28">
        <v>1.2590999603271484</v>
      </c>
      <c r="M28">
        <v>1.2898999452590942</v>
      </c>
    </row>
    <row r="29" spans="1:13" x14ac:dyDescent="0.2">
      <c r="A29" s="4">
        <v>1052</v>
      </c>
      <c r="B29">
        <v>0.42719998955726624</v>
      </c>
      <c r="C29">
        <v>0.19269999861717224</v>
      </c>
      <c r="D29">
        <v>0.16599999368190765</v>
      </c>
      <c r="E29">
        <v>0.26350000500679016</v>
      </c>
      <c r="F29">
        <v>0.31380000710487366</v>
      </c>
      <c r="G29">
        <v>0.3716999888420105</v>
      </c>
      <c r="H29">
        <v>0.5493999719619751</v>
      </c>
      <c r="I29">
        <v>0.57239997386932373</v>
      </c>
      <c r="J29">
        <v>0.71069997549057007</v>
      </c>
      <c r="K29">
        <v>1.2656999826431274</v>
      </c>
      <c r="L29">
        <v>1.2724000215530396</v>
      </c>
      <c r="M29">
        <v>1.2993999719619751</v>
      </c>
    </row>
    <row r="30" spans="1:13" x14ac:dyDescent="0.2">
      <c r="A30" s="4">
        <v>1053</v>
      </c>
      <c r="B30">
        <v>0.50089997053146362</v>
      </c>
      <c r="C30">
        <v>0.32919999957084656</v>
      </c>
      <c r="D30">
        <v>0.21109999716281891</v>
      </c>
      <c r="E30">
        <v>0.29229998588562012</v>
      </c>
      <c r="F30">
        <v>0.34999999403953552</v>
      </c>
      <c r="G30">
        <v>0.35719999670982361</v>
      </c>
      <c r="H30">
        <v>0.48039999604225159</v>
      </c>
      <c r="I30">
        <v>0.73470002412796021</v>
      </c>
      <c r="J30">
        <v>0.76980000734329224</v>
      </c>
      <c r="K30">
        <v>1.2925000190734863</v>
      </c>
      <c r="L30">
        <v>1.2752000093460083</v>
      </c>
      <c r="M30">
        <v>1.2875000238418579</v>
      </c>
    </row>
    <row r="31" spans="1:13" x14ac:dyDescent="0.2">
      <c r="A31" s="4" t="s">
        <v>29</v>
      </c>
      <c r="B31">
        <v>5.6400001049041748E-2</v>
      </c>
      <c r="C31">
        <v>5.7100001722574234E-2</v>
      </c>
      <c r="D31">
        <v>5.7399999350309372E-2</v>
      </c>
      <c r="E31">
        <v>5.6499999016523361E-2</v>
      </c>
      <c r="F31">
        <v>5.7100001722574234E-2</v>
      </c>
      <c r="G31">
        <v>5.6600000709295273E-2</v>
      </c>
      <c r="H31">
        <v>5.7000000029802322E-2</v>
      </c>
      <c r="I31">
        <v>5.7700000703334808E-2</v>
      </c>
      <c r="J31">
        <v>5.6600000709295273E-2</v>
      </c>
      <c r="K31">
        <v>5.6800000369548798E-2</v>
      </c>
      <c r="L31">
        <v>5.6699998676776886E-2</v>
      </c>
      <c r="M31">
        <v>5.6899998337030411E-2</v>
      </c>
    </row>
    <row r="36" spans="1:2" x14ac:dyDescent="0.2">
      <c r="A36" t="s">
        <v>28</v>
      </c>
      <c r="B36" s="2" t="s">
        <v>50</v>
      </c>
    </row>
  </sheetData>
  <conditionalFormatting sqref="B26:M3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6E88-AB97-4A8A-B425-2C15A8AC9CD7}">
  <dimension ref="A1:M37"/>
  <sheetViews>
    <sheetView topLeftCell="A16" workbookViewId="0">
      <selection activeCell="I42" sqref="I42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46134</v>
      </c>
    </row>
    <row r="6" spans="1:9" x14ac:dyDescent="0.2">
      <c r="A6" t="s">
        <v>8</v>
      </c>
      <c r="B6" s="2" t="s">
        <v>43</v>
      </c>
    </row>
    <row r="9" spans="1:9" x14ac:dyDescent="0.2">
      <c r="A9" t="s">
        <v>9</v>
      </c>
      <c r="E9" t="s">
        <v>10</v>
      </c>
    </row>
    <row r="10" spans="1:9" x14ac:dyDescent="0.2">
      <c r="A10" t="s">
        <v>11</v>
      </c>
      <c r="E10" t="s">
        <v>12</v>
      </c>
    </row>
    <row r="11" spans="1:9" x14ac:dyDescent="0.2">
      <c r="A11" t="s">
        <v>13</v>
      </c>
      <c r="E11" t="s">
        <v>14</v>
      </c>
    </row>
    <row r="12" spans="1:9" x14ac:dyDescent="0.2">
      <c r="A12" t="s">
        <v>15</v>
      </c>
    </row>
    <row r="15" spans="1:9" x14ac:dyDescent="0.2">
      <c r="A15" t="s">
        <v>16</v>
      </c>
    </row>
    <row r="16" spans="1:9" x14ac:dyDescent="0.2">
      <c r="A16" t="s">
        <v>17</v>
      </c>
      <c r="E16" t="s">
        <v>18</v>
      </c>
    </row>
    <row r="17" spans="1:13" x14ac:dyDescent="0.2">
      <c r="A17" t="s">
        <v>19</v>
      </c>
      <c r="E17">
        <v>600</v>
      </c>
      <c r="F17" t="s">
        <v>20</v>
      </c>
    </row>
    <row r="18" spans="1:13" x14ac:dyDescent="0.2">
      <c r="A18" t="s">
        <v>21</v>
      </c>
      <c r="E18">
        <v>9</v>
      </c>
      <c r="F18" t="s">
        <v>20</v>
      </c>
    </row>
    <row r="19" spans="1:13" x14ac:dyDescent="0.2">
      <c r="A19" t="s">
        <v>22</v>
      </c>
      <c r="E19">
        <v>25</v>
      </c>
    </row>
    <row r="20" spans="1:13" x14ac:dyDescent="0.2">
      <c r="A20" t="s">
        <v>23</v>
      </c>
      <c r="E20">
        <v>0</v>
      </c>
      <c r="F20" t="s">
        <v>24</v>
      </c>
    </row>
    <row r="21" spans="1:13" x14ac:dyDescent="0.2">
      <c r="A21" t="s">
        <v>26</v>
      </c>
      <c r="B21" s="2" t="s">
        <v>44</v>
      </c>
    </row>
    <row r="23" spans="1:13" x14ac:dyDescent="0.2">
      <c r="B23" t="s">
        <v>45</v>
      </c>
    </row>
    <row r="24" spans="1:13" x14ac:dyDescent="0.2">
      <c r="A24" s="3" t="s">
        <v>27</v>
      </c>
      <c r="B24" s="3">
        <v>64</v>
      </c>
      <c r="C24" s="3">
        <f>B24/2</f>
        <v>32</v>
      </c>
      <c r="D24" s="3">
        <f t="shared" ref="D24:L24" si="0">C24/2</f>
        <v>16</v>
      </c>
      <c r="E24" s="3">
        <f t="shared" si="0"/>
        <v>8</v>
      </c>
      <c r="F24" s="3">
        <f t="shared" si="0"/>
        <v>4</v>
      </c>
      <c r="G24" s="3">
        <f t="shared" si="0"/>
        <v>2</v>
      </c>
      <c r="H24" s="3">
        <f t="shared" si="0"/>
        <v>1</v>
      </c>
      <c r="I24" s="3">
        <f t="shared" si="0"/>
        <v>0.5</v>
      </c>
      <c r="J24" s="3">
        <f t="shared" si="0"/>
        <v>0.25</v>
      </c>
      <c r="K24" s="3">
        <f t="shared" si="0"/>
        <v>0.125</v>
      </c>
      <c r="L24" s="3">
        <f t="shared" si="0"/>
        <v>6.25E-2</v>
      </c>
      <c r="M24" s="3">
        <v>0</v>
      </c>
    </row>
    <row r="25" spans="1:13" x14ac:dyDescent="0.2">
      <c r="A25" s="3" t="s">
        <v>46</v>
      </c>
      <c r="B25">
        <v>4.5699998736381531E-2</v>
      </c>
      <c r="C25">
        <v>4.5400001108646393E-2</v>
      </c>
      <c r="D25">
        <v>4.5299999415874481E-2</v>
      </c>
      <c r="E25">
        <v>4.3800000101327896E-2</v>
      </c>
      <c r="F25">
        <v>4.5000001788139343E-2</v>
      </c>
      <c r="G25">
        <v>4.4199999421834946E-2</v>
      </c>
      <c r="H25">
        <v>4.5000001788139343E-2</v>
      </c>
      <c r="I25">
        <v>4.5800000429153442E-2</v>
      </c>
      <c r="J25">
        <v>4.4300001114606857E-2</v>
      </c>
      <c r="K25">
        <v>4.5699998736381531E-2</v>
      </c>
      <c r="L25">
        <v>4.4199999421834946E-2</v>
      </c>
      <c r="M25">
        <v>4.5200001448392868E-2</v>
      </c>
    </row>
    <row r="26" spans="1:13" x14ac:dyDescent="0.2">
      <c r="A26" s="4" t="s">
        <v>32</v>
      </c>
      <c r="B26">
        <v>0.1906999945640564</v>
      </c>
      <c r="C26">
        <v>0.164000004529953</v>
      </c>
      <c r="D26">
        <v>0.15790000557899475</v>
      </c>
      <c r="E26">
        <v>0.15060000121593475</v>
      </c>
      <c r="F26">
        <v>0.15209999680519104</v>
      </c>
      <c r="G26">
        <v>0.16779999434947968</v>
      </c>
      <c r="H26">
        <v>0.19050000607967377</v>
      </c>
      <c r="I26">
        <v>0.26980000734329224</v>
      </c>
      <c r="J26">
        <v>0.61409997940063477</v>
      </c>
      <c r="K26">
        <v>1.2803000211715698</v>
      </c>
      <c r="L26">
        <v>1.2978999614715576</v>
      </c>
      <c r="M26">
        <v>1.3237999677658081</v>
      </c>
    </row>
    <row r="27" spans="1:13" x14ac:dyDescent="0.2">
      <c r="A27" s="4">
        <v>1050</v>
      </c>
      <c r="B27">
        <v>0.45239999890327454</v>
      </c>
      <c r="C27">
        <v>0.37900000810623169</v>
      </c>
      <c r="D27">
        <v>0.2434999942779541</v>
      </c>
      <c r="E27">
        <v>0.24930000305175781</v>
      </c>
      <c r="F27">
        <v>0.34079998731613159</v>
      </c>
      <c r="G27">
        <v>0.39610001444816589</v>
      </c>
      <c r="H27">
        <v>0.32269999384880066</v>
      </c>
      <c r="I27">
        <v>0.48379999399185181</v>
      </c>
      <c r="J27">
        <v>0.63330000638961792</v>
      </c>
      <c r="K27">
        <v>1.2630000114440918</v>
      </c>
      <c r="L27">
        <v>1.2556999921798706</v>
      </c>
      <c r="M27">
        <v>1.2832000255584717</v>
      </c>
    </row>
    <row r="28" spans="1:13" x14ac:dyDescent="0.2">
      <c r="A28" s="4">
        <v>1051</v>
      </c>
      <c r="B28">
        <v>0.48919999599456787</v>
      </c>
      <c r="C28">
        <v>0.23999999463558197</v>
      </c>
      <c r="D28">
        <v>0.28319999575614929</v>
      </c>
      <c r="E28">
        <v>0.22720000147819519</v>
      </c>
      <c r="F28">
        <v>0.25630000233650208</v>
      </c>
      <c r="G28">
        <v>0.2856999933719635</v>
      </c>
      <c r="H28">
        <v>0.37160000205039978</v>
      </c>
      <c r="I28">
        <v>0.42559999227523804</v>
      </c>
      <c r="J28">
        <v>0.57800000905990601</v>
      </c>
      <c r="K28">
        <v>1.2599999904632568</v>
      </c>
      <c r="L28">
        <v>1.250499963760376</v>
      </c>
      <c r="M28">
        <v>1.3068000078201294</v>
      </c>
    </row>
    <row r="29" spans="1:13" x14ac:dyDescent="0.2">
      <c r="A29" s="4">
        <v>1052</v>
      </c>
      <c r="B29">
        <v>0.39719998836517334</v>
      </c>
      <c r="C29">
        <v>0.37389999628067017</v>
      </c>
      <c r="D29">
        <v>0.27529999613761902</v>
      </c>
      <c r="E29">
        <v>0.16009999811649323</v>
      </c>
      <c r="F29">
        <v>0.2791999876499176</v>
      </c>
      <c r="G29">
        <v>0.39089998602867126</v>
      </c>
      <c r="H29">
        <v>0.46309998631477356</v>
      </c>
      <c r="I29">
        <v>0.53899997472763062</v>
      </c>
      <c r="J29">
        <v>0.71799999475479126</v>
      </c>
      <c r="K29">
        <v>1.267300009727478</v>
      </c>
      <c r="L29">
        <v>1.2527999877929688</v>
      </c>
      <c r="M29">
        <v>1.2776999473571777</v>
      </c>
    </row>
    <row r="30" spans="1:13" x14ac:dyDescent="0.2">
      <c r="A30" s="4">
        <v>1053</v>
      </c>
      <c r="B30">
        <v>0.4659000039100647</v>
      </c>
      <c r="C30">
        <v>0.39300000667572021</v>
      </c>
      <c r="D30">
        <v>0.37400001287460327</v>
      </c>
      <c r="E30">
        <v>0.34360000491142273</v>
      </c>
      <c r="F30">
        <v>0.33329999446868896</v>
      </c>
      <c r="G30">
        <v>0.40900000929832458</v>
      </c>
      <c r="H30">
        <v>0.51620000600814819</v>
      </c>
      <c r="I30">
        <v>0.67760002613067627</v>
      </c>
      <c r="J30">
        <v>0.88599997758865356</v>
      </c>
      <c r="K30">
        <v>1.2779999971389771</v>
      </c>
      <c r="L30">
        <v>1.2369999885559082</v>
      </c>
      <c r="M30">
        <v>1.2936999797821045</v>
      </c>
    </row>
    <row r="31" spans="1:13" x14ac:dyDescent="0.2">
      <c r="A31" s="4" t="s">
        <v>29</v>
      </c>
      <c r="B31">
        <v>6.120000034570694E-2</v>
      </c>
      <c r="C31">
        <v>5.6800000369548798E-2</v>
      </c>
      <c r="D31">
        <v>5.7199999690055847E-2</v>
      </c>
      <c r="E31">
        <v>5.6899998337030411E-2</v>
      </c>
      <c r="F31">
        <v>5.7300001382827759E-2</v>
      </c>
      <c r="G31">
        <v>5.6699998676776886E-2</v>
      </c>
      <c r="H31">
        <v>5.6899998337030411E-2</v>
      </c>
      <c r="I31">
        <v>5.7399999350309372E-2</v>
      </c>
      <c r="J31">
        <v>5.6800000369548798E-2</v>
      </c>
      <c r="K31">
        <v>5.6899998337030411E-2</v>
      </c>
      <c r="L31">
        <v>5.7100001722574234E-2</v>
      </c>
      <c r="M31">
        <v>5.7199999690055847E-2</v>
      </c>
    </row>
    <row r="32" spans="1:13" x14ac:dyDescent="0.2">
      <c r="A32" s="3" t="s">
        <v>46</v>
      </c>
      <c r="B32">
        <v>4.6900000423192978E-2</v>
      </c>
      <c r="C32">
        <v>4.4900000095367432E-2</v>
      </c>
      <c r="D32">
        <v>4.5099999755620956E-2</v>
      </c>
      <c r="E32">
        <v>4.439999908208847E-2</v>
      </c>
      <c r="F32">
        <v>4.5299999415874481E-2</v>
      </c>
      <c r="G32">
        <v>4.4700000435113907E-2</v>
      </c>
      <c r="H32">
        <v>4.4500000774860382E-2</v>
      </c>
      <c r="I32">
        <v>4.5299999415874481E-2</v>
      </c>
      <c r="J32">
        <v>4.439999908208847E-2</v>
      </c>
      <c r="K32">
        <v>4.5299999415874481E-2</v>
      </c>
      <c r="L32">
        <v>4.5299999415874481E-2</v>
      </c>
      <c r="M32">
        <v>4.6000000089406967E-2</v>
      </c>
    </row>
    <row r="37" spans="1:2" x14ac:dyDescent="0.2">
      <c r="A37" t="s">
        <v>28</v>
      </c>
      <c r="B37" s="2" t="s">
        <v>47</v>
      </c>
    </row>
  </sheetData>
  <conditionalFormatting sqref="B25:M3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A3E9-73D1-4796-8062-8234D999606F}">
  <dimension ref="A1:M37"/>
  <sheetViews>
    <sheetView topLeftCell="A19" workbookViewId="0">
      <selection activeCell="J21" sqref="J21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46134</v>
      </c>
    </row>
    <row r="6" spans="1:9" x14ac:dyDescent="0.2">
      <c r="A6" t="s">
        <v>8</v>
      </c>
      <c r="B6" s="2" t="s">
        <v>40</v>
      </c>
    </row>
    <row r="9" spans="1:9" x14ac:dyDescent="0.2">
      <c r="A9" t="s">
        <v>9</v>
      </c>
      <c r="E9" t="s">
        <v>10</v>
      </c>
    </row>
    <row r="10" spans="1:9" x14ac:dyDescent="0.2">
      <c r="A10" t="s">
        <v>11</v>
      </c>
      <c r="E10" t="s">
        <v>12</v>
      </c>
    </row>
    <row r="11" spans="1:9" x14ac:dyDescent="0.2">
      <c r="A11" t="s">
        <v>13</v>
      </c>
      <c r="E11" t="s">
        <v>14</v>
      </c>
    </row>
    <row r="12" spans="1:9" x14ac:dyDescent="0.2">
      <c r="A12" t="s">
        <v>15</v>
      </c>
    </row>
    <row r="15" spans="1:9" x14ac:dyDescent="0.2">
      <c r="A15" t="s">
        <v>16</v>
      </c>
    </row>
    <row r="16" spans="1:9" x14ac:dyDescent="0.2">
      <c r="A16" t="s">
        <v>17</v>
      </c>
      <c r="E16" t="s">
        <v>18</v>
      </c>
    </row>
    <row r="17" spans="1:13" x14ac:dyDescent="0.2">
      <c r="A17" t="s">
        <v>19</v>
      </c>
      <c r="E17">
        <v>600</v>
      </c>
      <c r="F17" t="s">
        <v>20</v>
      </c>
    </row>
    <row r="18" spans="1:13" x14ac:dyDescent="0.2">
      <c r="A18" t="s">
        <v>21</v>
      </c>
      <c r="E18">
        <v>9</v>
      </c>
      <c r="F18" t="s">
        <v>20</v>
      </c>
    </row>
    <row r="19" spans="1:13" x14ac:dyDescent="0.2">
      <c r="A19" t="s">
        <v>22</v>
      </c>
      <c r="E19">
        <v>25</v>
      </c>
    </row>
    <row r="20" spans="1:13" x14ac:dyDescent="0.2">
      <c r="A20" t="s">
        <v>23</v>
      </c>
      <c r="E20">
        <v>0</v>
      </c>
      <c r="F20" t="s">
        <v>24</v>
      </c>
    </row>
    <row r="21" spans="1:13" x14ac:dyDescent="0.2">
      <c r="A21" t="s">
        <v>26</v>
      </c>
      <c r="B21" s="2" t="s">
        <v>41</v>
      </c>
    </row>
    <row r="23" spans="1:13" x14ac:dyDescent="0.2">
      <c r="B23" t="s">
        <v>38</v>
      </c>
    </row>
    <row r="24" spans="1:13" x14ac:dyDescent="0.2">
      <c r="A24" s="3" t="s">
        <v>27</v>
      </c>
      <c r="B24" s="3">
        <v>64</v>
      </c>
      <c r="C24" s="3">
        <f>B24/2</f>
        <v>32</v>
      </c>
      <c r="D24" s="3">
        <f t="shared" ref="D24:L24" si="0">C24/2</f>
        <v>16</v>
      </c>
      <c r="E24" s="3">
        <f t="shared" si="0"/>
        <v>8</v>
      </c>
      <c r="F24" s="3">
        <f t="shared" si="0"/>
        <v>4</v>
      </c>
      <c r="G24" s="3">
        <f t="shared" si="0"/>
        <v>2</v>
      </c>
      <c r="H24" s="3">
        <f t="shared" si="0"/>
        <v>1</v>
      </c>
      <c r="I24" s="3">
        <f t="shared" si="0"/>
        <v>0.5</v>
      </c>
      <c r="J24" s="3">
        <f t="shared" si="0"/>
        <v>0.25</v>
      </c>
      <c r="K24" s="3">
        <f t="shared" si="0"/>
        <v>0.125</v>
      </c>
      <c r="L24" s="3">
        <f t="shared" si="0"/>
        <v>6.25E-2</v>
      </c>
      <c r="M24" s="3">
        <v>0</v>
      </c>
    </row>
    <row r="25" spans="1:13" x14ac:dyDescent="0.2">
      <c r="A25" s="3">
        <v>1035</v>
      </c>
      <c r="B25">
        <v>0.29519999027252197</v>
      </c>
      <c r="C25">
        <v>0.20090000331401825</v>
      </c>
      <c r="D25">
        <v>0.18269999325275421</v>
      </c>
      <c r="E25">
        <v>0.17829999327659607</v>
      </c>
      <c r="F25">
        <v>0.20270000398159027</v>
      </c>
      <c r="G25">
        <v>0.20559999346733093</v>
      </c>
      <c r="H25">
        <v>0.2434999942779541</v>
      </c>
      <c r="I25">
        <v>0.29589998722076416</v>
      </c>
      <c r="J25">
        <v>0.44960001111030579</v>
      </c>
      <c r="K25">
        <v>1.2315000295639038</v>
      </c>
      <c r="L25">
        <v>1.3170000314712524</v>
      </c>
      <c r="M25">
        <v>1.305400013923645</v>
      </c>
    </row>
    <row r="26" spans="1:13" x14ac:dyDescent="0.2">
      <c r="A26" s="3">
        <v>1042</v>
      </c>
      <c r="B26">
        <v>0.26949998736381531</v>
      </c>
      <c r="C26">
        <v>0.19269999861717224</v>
      </c>
      <c r="D26">
        <v>0.19040000438690186</v>
      </c>
      <c r="E26">
        <v>0.20110000669956207</v>
      </c>
      <c r="F26">
        <v>0.19220000505447388</v>
      </c>
      <c r="G26">
        <v>0.20039999485015869</v>
      </c>
      <c r="H26">
        <v>0.23029999434947968</v>
      </c>
      <c r="I26">
        <v>0.32649999856948853</v>
      </c>
      <c r="J26">
        <v>0.53270000219345093</v>
      </c>
      <c r="K26">
        <v>1.2560000419616699</v>
      </c>
      <c r="L26">
        <v>1.2778999805450439</v>
      </c>
      <c r="M26">
        <v>1.2942999601364136</v>
      </c>
    </row>
    <row r="27" spans="1:13" x14ac:dyDescent="0.2">
      <c r="A27" s="3">
        <v>1466</v>
      </c>
      <c r="B27">
        <v>0.1500999927520752</v>
      </c>
      <c r="C27">
        <v>0.12610000371932983</v>
      </c>
      <c r="D27">
        <v>0.12070000171661377</v>
      </c>
      <c r="E27">
        <v>0.11699999868869781</v>
      </c>
      <c r="F27">
        <v>0.1281999945640564</v>
      </c>
      <c r="G27">
        <v>0.12510000169277191</v>
      </c>
      <c r="H27">
        <v>0.1387999951839447</v>
      </c>
      <c r="I27">
        <v>0.18389999866485596</v>
      </c>
      <c r="J27">
        <v>0.48519998788833618</v>
      </c>
      <c r="K27">
        <v>1.2627999782562256</v>
      </c>
      <c r="L27">
        <v>1.2934999465942383</v>
      </c>
      <c r="M27">
        <v>1.2970999479293823</v>
      </c>
    </row>
    <row r="28" spans="1:13" x14ac:dyDescent="0.2">
      <c r="A28" s="3">
        <v>1481</v>
      </c>
      <c r="B28">
        <v>0.73199999332427979</v>
      </c>
      <c r="C28">
        <v>0.48149999976158142</v>
      </c>
      <c r="D28">
        <v>0.47600001096725464</v>
      </c>
      <c r="E28">
        <v>0.55199998617172241</v>
      </c>
      <c r="F28">
        <v>0.57200002670288086</v>
      </c>
      <c r="G28">
        <v>0.65869998931884766</v>
      </c>
      <c r="H28">
        <v>0.60449999570846558</v>
      </c>
      <c r="I28">
        <v>0.67460000514984131</v>
      </c>
      <c r="J28">
        <v>0.77670001983642578</v>
      </c>
      <c r="K28">
        <v>1.285099983215332</v>
      </c>
      <c r="L28">
        <v>1.2934999465942383</v>
      </c>
      <c r="M28">
        <v>1.2948000431060791</v>
      </c>
    </row>
    <row r="29" spans="1:13" x14ac:dyDescent="0.2">
      <c r="A29" s="3">
        <v>1482</v>
      </c>
      <c r="B29">
        <v>0.73150002956390381</v>
      </c>
      <c r="C29">
        <v>0.58649998903274536</v>
      </c>
      <c r="D29">
        <v>0.54809999465942383</v>
      </c>
      <c r="E29">
        <v>0.57590001821517944</v>
      </c>
      <c r="F29">
        <v>0.51789999008178711</v>
      </c>
      <c r="G29">
        <v>0.53789997100830078</v>
      </c>
      <c r="H29">
        <v>0.70969998836517334</v>
      </c>
      <c r="I29">
        <v>0.63069999217987061</v>
      </c>
      <c r="J29">
        <v>0.76459997892379761</v>
      </c>
      <c r="K29">
        <v>1.2826000452041626</v>
      </c>
      <c r="L29">
        <v>1.285599946975708</v>
      </c>
      <c r="M29">
        <v>1.2854000329971313</v>
      </c>
    </row>
    <row r="30" spans="1:13" x14ac:dyDescent="0.2">
      <c r="A30" s="3">
        <v>1145</v>
      </c>
      <c r="B30">
        <v>0.16820000112056732</v>
      </c>
      <c r="C30">
        <v>0.12970000505447388</v>
      </c>
      <c r="D30">
        <v>0.12470000237226486</v>
      </c>
      <c r="E30">
        <v>0.12099999934434891</v>
      </c>
      <c r="F30">
        <v>0.12300000339746475</v>
      </c>
      <c r="G30">
        <v>0.12300000339746475</v>
      </c>
      <c r="H30">
        <v>0.13269999623298645</v>
      </c>
      <c r="I30">
        <v>0.16660000383853912</v>
      </c>
      <c r="J30">
        <v>0.29460000991821289</v>
      </c>
      <c r="K30">
        <v>1.2110999822616577</v>
      </c>
      <c r="L30">
        <v>1.2944999933242798</v>
      </c>
      <c r="M30">
        <v>1.2883000373840332</v>
      </c>
    </row>
    <row r="31" spans="1:13" x14ac:dyDescent="0.2">
      <c r="A31" s="3">
        <v>1044</v>
      </c>
      <c r="B31">
        <v>0.15899999439716339</v>
      </c>
      <c r="C31">
        <v>0.12449999898672104</v>
      </c>
      <c r="D31">
        <v>0.11699999868869781</v>
      </c>
      <c r="E31">
        <v>0.11500000208616257</v>
      </c>
      <c r="F31">
        <v>0.12250000238418579</v>
      </c>
      <c r="G31">
        <v>0.120899997651577</v>
      </c>
      <c r="H31">
        <v>0.13189999759197235</v>
      </c>
      <c r="I31">
        <v>0.15719999372959137</v>
      </c>
      <c r="J31">
        <v>0.2824999988079071</v>
      </c>
      <c r="K31">
        <v>1.2197999954223633</v>
      </c>
      <c r="L31">
        <v>1.291100025177002</v>
      </c>
      <c r="M31">
        <v>1.3156000375747681</v>
      </c>
    </row>
    <row r="32" spans="1:13" x14ac:dyDescent="0.2">
      <c r="A32" s="3" t="s">
        <v>29</v>
      </c>
      <c r="B32">
        <v>6.120000034570694E-2</v>
      </c>
      <c r="C32">
        <v>5.6899998337030411E-2</v>
      </c>
      <c r="D32">
        <v>5.7999998331069946E-2</v>
      </c>
      <c r="E32">
        <v>5.6699998676776886E-2</v>
      </c>
      <c r="F32">
        <v>5.7500001043081284E-2</v>
      </c>
      <c r="G32">
        <v>5.6600000709295273E-2</v>
      </c>
      <c r="H32">
        <v>5.6299999356269836E-2</v>
      </c>
      <c r="I32">
        <v>5.7900000363588333E-2</v>
      </c>
      <c r="J32">
        <v>5.6299999356269836E-2</v>
      </c>
      <c r="K32">
        <v>5.7399999350309372E-2</v>
      </c>
      <c r="L32">
        <v>5.7199999690055847E-2</v>
      </c>
      <c r="M32">
        <v>5.8400001376867294E-2</v>
      </c>
    </row>
    <row r="37" spans="1:2" x14ac:dyDescent="0.2">
      <c r="A37" t="s">
        <v>28</v>
      </c>
      <c r="B37" s="2" t="s">
        <v>42</v>
      </c>
    </row>
  </sheetData>
  <conditionalFormatting sqref="B25:M3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B6A4-04B0-4AC3-A0D7-DBDB8CA202B3}">
  <dimension ref="A1:M37"/>
  <sheetViews>
    <sheetView topLeftCell="A19" workbookViewId="0">
      <selection activeCell="L22" sqref="L22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46134</v>
      </c>
    </row>
    <row r="6" spans="1:9" x14ac:dyDescent="0.2">
      <c r="A6" t="s">
        <v>8</v>
      </c>
      <c r="B6" s="2" t="s">
        <v>36</v>
      </c>
    </row>
    <row r="9" spans="1:9" x14ac:dyDescent="0.2">
      <c r="A9" t="s">
        <v>9</v>
      </c>
      <c r="E9" t="s">
        <v>10</v>
      </c>
    </row>
    <row r="10" spans="1:9" x14ac:dyDescent="0.2">
      <c r="A10" t="s">
        <v>11</v>
      </c>
      <c r="E10" t="s">
        <v>12</v>
      </c>
    </row>
    <row r="11" spans="1:9" x14ac:dyDescent="0.2">
      <c r="A11" t="s">
        <v>13</v>
      </c>
      <c r="E11" t="s">
        <v>14</v>
      </c>
    </row>
    <row r="12" spans="1:9" x14ac:dyDescent="0.2">
      <c r="A12" t="s">
        <v>15</v>
      </c>
    </row>
    <row r="15" spans="1:9" x14ac:dyDescent="0.2">
      <c r="A15" t="s">
        <v>16</v>
      </c>
    </row>
    <row r="16" spans="1:9" x14ac:dyDescent="0.2">
      <c r="A16" t="s">
        <v>17</v>
      </c>
      <c r="E16" t="s">
        <v>18</v>
      </c>
    </row>
    <row r="17" spans="1:13" x14ac:dyDescent="0.2">
      <c r="A17" t="s">
        <v>19</v>
      </c>
      <c r="E17">
        <v>600</v>
      </c>
      <c r="F17" t="s">
        <v>20</v>
      </c>
    </row>
    <row r="18" spans="1:13" x14ac:dyDescent="0.2">
      <c r="A18" t="s">
        <v>21</v>
      </c>
      <c r="E18">
        <v>9</v>
      </c>
      <c r="F18" t="s">
        <v>20</v>
      </c>
    </row>
    <row r="19" spans="1:13" x14ac:dyDescent="0.2">
      <c r="A19" t="s">
        <v>22</v>
      </c>
      <c r="E19">
        <v>25</v>
      </c>
    </row>
    <row r="20" spans="1:13" x14ac:dyDescent="0.2">
      <c r="A20" t="s">
        <v>23</v>
      </c>
      <c r="E20">
        <v>0</v>
      </c>
      <c r="F20" t="s">
        <v>24</v>
      </c>
    </row>
    <row r="21" spans="1:13" x14ac:dyDescent="0.2">
      <c r="A21" t="s">
        <v>26</v>
      </c>
      <c r="B21" s="2" t="s">
        <v>37</v>
      </c>
    </row>
    <row r="23" spans="1:13" x14ac:dyDescent="0.2">
      <c r="B23" t="s">
        <v>38</v>
      </c>
    </row>
    <row r="24" spans="1:13" x14ac:dyDescent="0.2">
      <c r="A24" s="3" t="s">
        <v>27</v>
      </c>
      <c r="B24" s="3">
        <v>64</v>
      </c>
      <c r="C24" s="3">
        <f>B24/2</f>
        <v>32</v>
      </c>
      <c r="D24" s="3">
        <f t="shared" ref="D24:L24" si="0">C24/2</f>
        <v>16</v>
      </c>
      <c r="E24" s="3">
        <f t="shared" si="0"/>
        <v>8</v>
      </c>
      <c r="F24" s="3">
        <f t="shared" si="0"/>
        <v>4</v>
      </c>
      <c r="G24" s="3">
        <f t="shared" si="0"/>
        <v>2</v>
      </c>
      <c r="H24" s="3">
        <f t="shared" si="0"/>
        <v>1</v>
      </c>
      <c r="I24" s="3">
        <f t="shared" si="0"/>
        <v>0.5</v>
      </c>
      <c r="J24" s="3">
        <f t="shared" si="0"/>
        <v>0.25</v>
      </c>
      <c r="K24" s="3">
        <f t="shared" si="0"/>
        <v>0.125</v>
      </c>
      <c r="L24" s="3">
        <f t="shared" si="0"/>
        <v>6.25E-2</v>
      </c>
      <c r="M24" s="3">
        <v>0</v>
      </c>
    </row>
    <row r="25" spans="1:13" x14ac:dyDescent="0.2">
      <c r="A25" s="3">
        <v>1035</v>
      </c>
      <c r="B25">
        <v>0.31790000200271606</v>
      </c>
      <c r="C25">
        <v>0.22179999947547913</v>
      </c>
      <c r="D25">
        <v>0.20810000598430634</v>
      </c>
      <c r="E25">
        <v>0.20229999721050262</v>
      </c>
      <c r="F25">
        <v>0.19499999284744263</v>
      </c>
      <c r="G25">
        <v>0.20800000429153442</v>
      </c>
      <c r="H25">
        <v>0.22849999368190765</v>
      </c>
      <c r="I25">
        <v>0.31830000877380371</v>
      </c>
      <c r="J25">
        <v>0.50099998712539673</v>
      </c>
      <c r="K25">
        <v>1.2716000080108643</v>
      </c>
      <c r="L25">
        <v>1.3136999607086182</v>
      </c>
      <c r="M25">
        <v>1.2972999811172485</v>
      </c>
    </row>
    <row r="26" spans="1:13" x14ac:dyDescent="0.2">
      <c r="A26" s="3">
        <v>1042</v>
      </c>
      <c r="B26">
        <v>0.3010999858379364</v>
      </c>
      <c r="C26">
        <v>0.19730000197887421</v>
      </c>
      <c r="D26">
        <v>0.18639999628067017</v>
      </c>
      <c r="E26">
        <v>0.18950000405311584</v>
      </c>
      <c r="F26">
        <v>0.18050000071525574</v>
      </c>
      <c r="G26">
        <v>0.20679999887943268</v>
      </c>
      <c r="H26">
        <v>0.2117999941110611</v>
      </c>
      <c r="I26">
        <v>0.25350001454353333</v>
      </c>
      <c r="J26">
        <v>0.31729999184608459</v>
      </c>
      <c r="K26">
        <v>1.2310999631881714</v>
      </c>
      <c r="L26">
        <v>1.2747000455856323</v>
      </c>
      <c r="M26">
        <v>1.2984999418258667</v>
      </c>
    </row>
    <row r="27" spans="1:13" x14ac:dyDescent="0.2">
      <c r="A27" s="3">
        <v>1466</v>
      </c>
      <c r="B27">
        <v>0.14679999649524689</v>
      </c>
      <c r="C27">
        <v>0.12060000002384186</v>
      </c>
      <c r="D27">
        <v>0.11140000075101852</v>
      </c>
      <c r="E27">
        <v>0.1177000030875206</v>
      </c>
      <c r="F27">
        <v>0.125</v>
      </c>
      <c r="G27">
        <v>0.1185000017285347</v>
      </c>
      <c r="H27">
        <v>0.1387999951839447</v>
      </c>
      <c r="I27">
        <v>0.18340000510215759</v>
      </c>
      <c r="J27">
        <v>0.47900000214576721</v>
      </c>
      <c r="K27">
        <v>1.2503999471664429</v>
      </c>
      <c r="L27">
        <v>1.2924000024795532</v>
      </c>
      <c r="M27">
        <v>1.2867000102996826</v>
      </c>
    </row>
    <row r="28" spans="1:13" x14ac:dyDescent="0.2">
      <c r="A28" s="3">
        <v>1481</v>
      </c>
      <c r="B28">
        <v>0.72420001029968262</v>
      </c>
      <c r="C28">
        <v>0.48679998517036438</v>
      </c>
      <c r="D28">
        <v>0.52120000123977661</v>
      </c>
      <c r="E28">
        <v>0.50019997358322144</v>
      </c>
      <c r="F28">
        <v>0.54699999094009399</v>
      </c>
      <c r="G28">
        <v>0.61080002784729004</v>
      </c>
      <c r="H28">
        <v>0.60900002717971802</v>
      </c>
      <c r="I28">
        <v>0.69840002059936523</v>
      </c>
      <c r="J28">
        <v>0.80839997529983521</v>
      </c>
      <c r="K28">
        <v>1.2865999937057495</v>
      </c>
      <c r="L28">
        <v>1.2893999814987183</v>
      </c>
      <c r="M28">
        <v>1.2878999710083008</v>
      </c>
    </row>
    <row r="29" spans="1:13" x14ac:dyDescent="0.2">
      <c r="A29" s="3">
        <v>1482</v>
      </c>
      <c r="B29">
        <v>0.78789997100830078</v>
      </c>
      <c r="C29">
        <v>0.49340000748634338</v>
      </c>
      <c r="D29">
        <v>0.45820000767707825</v>
      </c>
      <c r="E29">
        <v>0.5349000096321106</v>
      </c>
      <c r="F29">
        <v>0.6007000207901001</v>
      </c>
      <c r="G29">
        <v>0.56300002336502075</v>
      </c>
      <c r="H29">
        <v>0.70039999485015869</v>
      </c>
      <c r="I29">
        <v>0.62840002775192261</v>
      </c>
      <c r="J29">
        <v>0.80129998922348022</v>
      </c>
      <c r="K29">
        <v>1.2761000394821167</v>
      </c>
      <c r="L29">
        <v>1.2697999477386475</v>
      </c>
      <c r="M29">
        <v>1.2925000190734863</v>
      </c>
    </row>
    <row r="30" spans="1:13" x14ac:dyDescent="0.2">
      <c r="A30" s="3">
        <v>1145</v>
      </c>
      <c r="B30">
        <v>0.15639999508857727</v>
      </c>
      <c r="C30">
        <v>0.12309999763965607</v>
      </c>
      <c r="D30">
        <v>0.11810000240802765</v>
      </c>
      <c r="E30">
        <v>0.1193000003695488</v>
      </c>
      <c r="F30">
        <v>0.11640000343322754</v>
      </c>
      <c r="G30">
        <v>0.12860000133514404</v>
      </c>
      <c r="H30">
        <v>0.13120000064373016</v>
      </c>
      <c r="I30">
        <v>0.17659999430179596</v>
      </c>
      <c r="J30">
        <v>0.28040000796318054</v>
      </c>
      <c r="K30">
        <v>1.2293000221252441</v>
      </c>
      <c r="L30">
        <v>1.2790999412536621</v>
      </c>
      <c r="M30">
        <v>1.3011000156402588</v>
      </c>
    </row>
    <row r="31" spans="1:13" x14ac:dyDescent="0.2">
      <c r="A31" s="3">
        <v>1044</v>
      </c>
      <c r="B31">
        <v>0.16740000247955322</v>
      </c>
      <c r="C31">
        <v>0.12489999830722809</v>
      </c>
      <c r="D31">
        <v>0.10869999974966049</v>
      </c>
      <c r="E31">
        <v>0.11940000206232071</v>
      </c>
      <c r="F31">
        <v>0.12510000169277191</v>
      </c>
      <c r="G31">
        <v>0.12980000674724579</v>
      </c>
      <c r="H31">
        <v>0.13830000162124634</v>
      </c>
      <c r="I31">
        <v>0.17730000615119934</v>
      </c>
      <c r="J31">
        <v>0.26550000905990601</v>
      </c>
      <c r="K31">
        <v>1.2272000312805176</v>
      </c>
      <c r="L31">
        <v>1.281000018119812</v>
      </c>
      <c r="M31">
        <v>1.3280999660491943</v>
      </c>
    </row>
    <row r="32" spans="1:13" x14ac:dyDescent="0.2">
      <c r="A32" s="3" t="s">
        <v>29</v>
      </c>
      <c r="B32">
        <v>5.7399999350309372E-2</v>
      </c>
      <c r="C32">
        <v>5.8100000023841858E-2</v>
      </c>
      <c r="D32">
        <v>5.7700000703334808E-2</v>
      </c>
      <c r="E32">
        <v>5.6299999356269836E-2</v>
      </c>
      <c r="F32">
        <v>5.7900000363588333E-2</v>
      </c>
      <c r="G32">
        <v>5.6499999016523361E-2</v>
      </c>
      <c r="H32">
        <v>5.6299999356269836E-2</v>
      </c>
      <c r="I32">
        <v>5.7700000703334808E-2</v>
      </c>
      <c r="J32">
        <v>5.6299999356269836E-2</v>
      </c>
      <c r="K32">
        <v>5.7300001382827759E-2</v>
      </c>
      <c r="L32">
        <v>5.6899998337030411E-2</v>
      </c>
      <c r="M32">
        <v>5.7999998331069946E-2</v>
      </c>
    </row>
    <row r="37" spans="1:2" x14ac:dyDescent="0.2">
      <c r="A37" t="s">
        <v>28</v>
      </c>
      <c r="B37" s="2" t="s">
        <v>39</v>
      </c>
    </row>
  </sheetData>
  <conditionalFormatting sqref="B25:M3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A803-D4BA-4568-8932-AD3DFD47A5E5}">
  <dimension ref="A1:M37"/>
  <sheetViews>
    <sheetView tabSelected="1" workbookViewId="0">
      <selection activeCell="Q37" sqref="Q37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46134</v>
      </c>
    </row>
    <row r="6" spans="1:9" x14ac:dyDescent="0.2">
      <c r="A6" t="s">
        <v>8</v>
      </c>
      <c r="B6" s="2" t="s">
        <v>33</v>
      </c>
    </row>
    <row r="9" spans="1:9" x14ac:dyDescent="0.2">
      <c r="A9" t="s">
        <v>9</v>
      </c>
      <c r="E9" t="s">
        <v>10</v>
      </c>
    </row>
    <row r="10" spans="1:9" x14ac:dyDescent="0.2">
      <c r="A10" t="s">
        <v>11</v>
      </c>
      <c r="E10" t="s">
        <v>12</v>
      </c>
    </row>
    <row r="11" spans="1:9" x14ac:dyDescent="0.2">
      <c r="A11" t="s">
        <v>13</v>
      </c>
      <c r="E11" t="s">
        <v>14</v>
      </c>
    </row>
    <row r="12" spans="1:9" x14ac:dyDescent="0.2">
      <c r="A12" t="s">
        <v>15</v>
      </c>
    </row>
    <row r="15" spans="1:9" x14ac:dyDescent="0.2">
      <c r="A15" t="s">
        <v>16</v>
      </c>
    </row>
    <row r="16" spans="1:9" x14ac:dyDescent="0.2">
      <c r="A16" t="s">
        <v>17</v>
      </c>
      <c r="E16" t="s">
        <v>18</v>
      </c>
    </row>
    <row r="17" spans="1:13" x14ac:dyDescent="0.2">
      <c r="A17" t="s">
        <v>19</v>
      </c>
      <c r="E17">
        <v>600</v>
      </c>
      <c r="F17" t="s">
        <v>20</v>
      </c>
    </row>
    <row r="18" spans="1:13" x14ac:dyDescent="0.2">
      <c r="A18" t="s">
        <v>21</v>
      </c>
      <c r="E18">
        <v>9</v>
      </c>
      <c r="F18" t="s">
        <v>20</v>
      </c>
    </row>
    <row r="19" spans="1:13" x14ac:dyDescent="0.2">
      <c r="A19" t="s">
        <v>22</v>
      </c>
      <c r="E19">
        <v>25</v>
      </c>
    </row>
    <row r="20" spans="1:13" x14ac:dyDescent="0.2">
      <c r="A20" t="s">
        <v>23</v>
      </c>
      <c r="E20">
        <v>0</v>
      </c>
      <c r="F20" t="s">
        <v>24</v>
      </c>
    </row>
    <row r="21" spans="1:13" x14ac:dyDescent="0.2">
      <c r="A21" t="s">
        <v>26</v>
      </c>
      <c r="B21" s="2" t="s">
        <v>34</v>
      </c>
    </row>
    <row r="23" spans="1:13" x14ac:dyDescent="0.2">
      <c r="B23" t="s">
        <v>30</v>
      </c>
    </row>
    <row r="24" spans="1:13" x14ac:dyDescent="0.2">
      <c r="A24" s="3" t="s">
        <v>27</v>
      </c>
      <c r="B24" s="3">
        <v>64</v>
      </c>
      <c r="C24" s="3">
        <f>B24/2</f>
        <v>32</v>
      </c>
      <c r="D24" s="3">
        <f t="shared" ref="D24:L24" si="0">C24/2</f>
        <v>16</v>
      </c>
      <c r="E24" s="3">
        <f t="shared" si="0"/>
        <v>8</v>
      </c>
      <c r="F24" s="3">
        <f t="shared" si="0"/>
        <v>4</v>
      </c>
      <c r="G24" s="3">
        <f t="shared" si="0"/>
        <v>2</v>
      </c>
      <c r="H24" s="3">
        <f t="shared" si="0"/>
        <v>1</v>
      </c>
      <c r="I24" s="3">
        <f t="shared" si="0"/>
        <v>0.5</v>
      </c>
      <c r="J24" s="3">
        <f t="shared" si="0"/>
        <v>0.25</v>
      </c>
      <c r="K24" s="3">
        <f t="shared" si="0"/>
        <v>0.125</v>
      </c>
      <c r="L24" s="3">
        <f t="shared" si="0"/>
        <v>6.25E-2</v>
      </c>
      <c r="M24" s="3">
        <v>0</v>
      </c>
    </row>
    <row r="25" spans="1:13" x14ac:dyDescent="0.2">
      <c r="A25" s="3">
        <v>1035</v>
      </c>
      <c r="B25">
        <v>0.28020000457763672</v>
      </c>
      <c r="C25">
        <v>0.23729999363422394</v>
      </c>
      <c r="D25">
        <v>0.21819999814033508</v>
      </c>
      <c r="E25">
        <v>0.21459999680519104</v>
      </c>
      <c r="F25">
        <v>0.22750000655651093</v>
      </c>
      <c r="G25">
        <v>0.2354000061750412</v>
      </c>
      <c r="H25">
        <v>0.25920000672340393</v>
      </c>
      <c r="I25">
        <v>0.29620000720024109</v>
      </c>
      <c r="J25">
        <v>0.49529999494552612</v>
      </c>
      <c r="K25">
        <v>1.1610000133514404</v>
      </c>
      <c r="L25">
        <v>1.3076000213623047</v>
      </c>
      <c r="M25">
        <v>1.2991000413894653</v>
      </c>
    </row>
    <row r="26" spans="1:13" x14ac:dyDescent="0.2">
      <c r="A26" s="3">
        <v>1042</v>
      </c>
      <c r="B26">
        <v>0.2515999972820282</v>
      </c>
      <c r="C26">
        <v>0.24160000681877136</v>
      </c>
      <c r="D26">
        <v>0.22200000286102295</v>
      </c>
      <c r="E26">
        <v>0.20270000398159027</v>
      </c>
      <c r="F26">
        <v>0.19840000569820404</v>
      </c>
      <c r="G26">
        <v>0.2362000048160553</v>
      </c>
      <c r="H26">
        <v>0.2434999942779541</v>
      </c>
      <c r="I26">
        <v>0.37099999189376831</v>
      </c>
      <c r="J26">
        <v>0.57410001754760742</v>
      </c>
      <c r="K26">
        <v>1.2473000288009644</v>
      </c>
      <c r="L26">
        <v>1.2790999412536621</v>
      </c>
      <c r="M26">
        <v>1.2982000112533569</v>
      </c>
    </row>
    <row r="27" spans="1:13" x14ac:dyDescent="0.2">
      <c r="A27" s="3">
        <v>1466</v>
      </c>
      <c r="B27">
        <v>0.13779999315738678</v>
      </c>
      <c r="C27">
        <v>0.1185000017285347</v>
      </c>
      <c r="D27">
        <v>0.11580000072717667</v>
      </c>
      <c r="E27">
        <v>0.11680000275373459</v>
      </c>
      <c r="F27">
        <v>0.12620000541210175</v>
      </c>
      <c r="G27">
        <v>0.11550000309944153</v>
      </c>
      <c r="H27">
        <v>0.12919999659061432</v>
      </c>
      <c r="I27">
        <v>0.17569999396800995</v>
      </c>
      <c r="J27">
        <v>0.35170000791549683</v>
      </c>
      <c r="K27">
        <v>1.2395000457763672</v>
      </c>
      <c r="L27">
        <v>1.3015999794006348</v>
      </c>
      <c r="M27">
        <v>1.2970000505447388</v>
      </c>
    </row>
    <row r="28" spans="1:13" x14ac:dyDescent="0.2">
      <c r="A28" s="3">
        <v>1481</v>
      </c>
      <c r="B28">
        <v>0.71170002222061157</v>
      </c>
      <c r="C28">
        <v>0.62669998407363892</v>
      </c>
      <c r="D28">
        <v>0.61449998617172241</v>
      </c>
      <c r="E28">
        <v>0.60670000314712524</v>
      </c>
      <c r="F28">
        <v>0.59520000219345093</v>
      </c>
      <c r="G28">
        <v>0.72380000352859497</v>
      </c>
      <c r="H28">
        <v>0.67729997634887695</v>
      </c>
      <c r="I28">
        <v>0.76050001382827759</v>
      </c>
      <c r="J28">
        <v>0.8256000280380249</v>
      </c>
      <c r="K28">
        <v>1.2539000511169434</v>
      </c>
      <c r="L28">
        <v>1.2946000099182129</v>
      </c>
      <c r="M28">
        <v>1.3092999458312988</v>
      </c>
    </row>
    <row r="29" spans="1:13" x14ac:dyDescent="0.2">
      <c r="A29" s="3">
        <v>1482</v>
      </c>
      <c r="B29">
        <v>0.78430002927780151</v>
      </c>
      <c r="C29">
        <v>0.7192000150680542</v>
      </c>
      <c r="D29">
        <v>0.68229997158050537</v>
      </c>
      <c r="E29">
        <v>0.51789999008178711</v>
      </c>
      <c r="F29">
        <v>0.53860002756118774</v>
      </c>
      <c r="G29">
        <v>0.63249999284744263</v>
      </c>
      <c r="H29">
        <v>0.74169999361038208</v>
      </c>
      <c r="I29">
        <v>0.66449999809265137</v>
      </c>
      <c r="J29">
        <v>0.71399998664855957</v>
      </c>
      <c r="K29">
        <v>1.2444000244140625</v>
      </c>
      <c r="L29">
        <v>1.2942999601364136</v>
      </c>
      <c r="M29">
        <v>1.2925000190734863</v>
      </c>
    </row>
    <row r="30" spans="1:13" x14ac:dyDescent="0.2">
      <c r="A30" s="3">
        <v>1145</v>
      </c>
      <c r="B30">
        <v>0.16349999606609344</v>
      </c>
      <c r="C30">
        <v>0.13060000538825989</v>
      </c>
      <c r="D30">
        <v>0.13019999861717224</v>
      </c>
      <c r="E30">
        <v>0.12880000472068787</v>
      </c>
      <c r="F30">
        <v>0.12380000203847885</v>
      </c>
      <c r="G30">
        <v>0.12680000066757202</v>
      </c>
      <c r="H30">
        <v>0.13969999551773071</v>
      </c>
      <c r="I30">
        <v>0.21490000188350677</v>
      </c>
      <c r="J30">
        <v>0.4982999861240387</v>
      </c>
      <c r="K30">
        <v>1.2914999723434448</v>
      </c>
      <c r="L30">
        <v>1.319100022315979</v>
      </c>
      <c r="M30">
        <v>1.2759000062942505</v>
      </c>
    </row>
    <row r="31" spans="1:13" x14ac:dyDescent="0.2">
      <c r="A31" s="3">
        <v>1044</v>
      </c>
      <c r="B31">
        <v>0.15649999678134918</v>
      </c>
      <c r="C31">
        <v>0.1395999938249588</v>
      </c>
      <c r="D31">
        <v>0.13869999349117279</v>
      </c>
      <c r="E31">
        <v>0.12999999523162842</v>
      </c>
      <c r="F31">
        <v>0.14280000329017639</v>
      </c>
      <c r="G31">
        <v>0.14790000021457672</v>
      </c>
      <c r="H31">
        <v>0.16189999878406525</v>
      </c>
      <c r="I31">
        <v>0.25110000371932983</v>
      </c>
      <c r="J31">
        <v>0.43200001120567322</v>
      </c>
      <c r="K31">
        <v>1.2368999719619751</v>
      </c>
      <c r="L31">
        <v>1.3166999816894531</v>
      </c>
      <c r="M31">
        <v>1.3286999464035034</v>
      </c>
    </row>
    <row r="32" spans="1:13" x14ac:dyDescent="0.2">
      <c r="A32" s="3" t="s">
        <v>29</v>
      </c>
      <c r="B32">
        <v>6.1099998652935028E-2</v>
      </c>
      <c r="C32">
        <v>5.7199999690055847E-2</v>
      </c>
      <c r="D32">
        <v>5.820000171661377E-2</v>
      </c>
      <c r="E32">
        <v>5.6800000369548798E-2</v>
      </c>
      <c r="F32">
        <v>5.7599999010562897E-2</v>
      </c>
      <c r="G32">
        <v>5.6699998676776886E-2</v>
      </c>
      <c r="H32">
        <v>5.6099999696016312E-2</v>
      </c>
      <c r="I32">
        <v>5.7700000703334808E-2</v>
      </c>
      <c r="J32">
        <v>5.5799998342990875E-2</v>
      </c>
      <c r="K32">
        <v>5.7500001043081284E-2</v>
      </c>
      <c r="L32">
        <v>5.7399999350309372E-2</v>
      </c>
      <c r="M32">
        <v>5.820000171661377E-2</v>
      </c>
    </row>
    <row r="37" spans="1:2" x14ac:dyDescent="0.2">
      <c r="A37" t="s">
        <v>28</v>
      </c>
      <c r="B37" s="2" t="s">
        <v>35</v>
      </c>
    </row>
  </sheetData>
  <conditionalFormatting sqref="B25:M3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FLZ_Set2_Rep3</vt:lpstr>
      <vt:lpstr>FLZ_Set2_Rep2</vt:lpstr>
      <vt:lpstr>FLZ_Set2_Rep1</vt:lpstr>
      <vt:lpstr>FLZ_Set1_Rep3</vt:lpstr>
      <vt:lpstr>FLZ_Set1_Rep2</vt:lpstr>
      <vt:lpstr>FLZ_Set1_Rep1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Eileen Bates</dc:creator>
  <cp:lastModifiedBy>Nicholas Gervais</cp:lastModifiedBy>
  <dcterms:created xsi:type="dcterms:W3CDTF">2026-04-22T16:27:58Z</dcterms:created>
  <dcterms:modified xsi:type="dcterms:W3CDTF">2026-05-28T15:45:30Z</dcterms:modified>
</cp:coreProperties>
</file>