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esktop/ChrR/IC50 Calculations/ComboA_POS/"/>
    </mc:Choice>
  </mc:AlternateContent>
  <xr:revisionPtr revIDLastSave="0" documentId="13_ncr:1_{54292F45-5229-354C-80FD-1053165CF00B}" xr6:coauthVersionLast="47" xr6:coauthVersionMax="47" xr10:uidLastSave="{00000000-0000-0000-0000-000000000000}"/>
  <bookViews>
    <workbookView xWindow="0" yWindow="760" windowWidth="24460" windowHeight="15800" xr2:uid="{B85C0B26-CF39-4EC4-8E03-1D1733F0177F}"/>
  </bookViews>
  <sheets>
    <sheet name="POS_Set2_Rep3" sheetId="10" r:id="rId1"/>
    <sheet name="POS_Set2_Rep2" sheetId="9" r:id="rId2"/>
    <sheet name="POS_Set2_Rep1" sheetId="8" r:id="rId3"/>
    <sheet name="POS_Set1_Rep3" sheetId="7" r:id="rId4"/>
    <sheet name="POS_Set1_Rep2" sheetId="6" r:id="rId5"/>
    <sheet name="POS_Set1_Rep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0" l="1"/>
  <c r="D25" i="10" s="1"/>
  <c r="E25" i="10" s="1"/>
  <c r="F25" i="10" s="1"/>
  <c r="G25" i="10" s="1"/>
  <c r="H25" i="10" s="1"/>
  <c r="I25" i="10" s="1"/>
  <c r="J25" i="10" s="1"/>
  <c r="K25" i="10" s="1"/>
  <c r="L25" i="10" s="1"/>
  <c r="C25" i="9"/>
  <c r="D25" i="9" s="1"/>
  <c r="E25" i="9" s="1"/>
  <c r="F25" i="9" s="1"/>
  <c r="G25" i="9" s="1"/>
  <c r="H25" i="9" s="1"/>
  <c r="I25" i="9" s="1"/>
  <c r="J25" i="9" s="1"/>
  <c r="K25" i="9" s="1"/>
  <c r="L25" i="9" s="1"/>
  <c r="C25" i="8"/>
  <c r="D25" i="8" s="1"/>
  <c r="E25" i="8" s="1"/>
  <c r="F25" i="8" s="1"/>
  <c r="G25" i="8" s="1"/>
  <c r="H25" i="8" s="1"/>
  <c r="I25" i="8" s="1"/>
  <c r="J25" i="8" s="1"/>
  <c r="K25" i="8" s="1"/>
  <c r="L25" i="8" s="1"/>
  <c r="C24" i="7"/>
  <c r="D24" i="7" s="1"/>
  <c r="E24" i="7" s="1"/>
  <c r="F24" i="7" s="1"/>
  <c r="G24" i="7" s="1"/>
  <c r="H24" i="7" s="1"/>
  <c r="I24" i="7" s="1"/>
  <c r="J24" i="7" s="1"/>
  <c r="K24" i="7" s="1"/>
  <c r="L24" i="7" s="1"/>
  <c r="C24" i="6"/>
  <c r="D24" i="6" s="1"/>
  <c r="E24" i="6" s="1"/>
  <c r="F24" i="6" s="1"/>
  <c r="G24" i="6" s="1"/>
  <c r="H24" i="6" s="1"/>
  <c r="I24" i="6" s="1"/>
  <c r="J24" i="6" s="1"/>
  <c r="K24" i="6" s="1"/>
  <c r="L24" i="6" s="1"/>
  <c r="C24" i="5"/>
  <c r="D24" i="5" s="1"/>
  <c r="E24" i="5" s="1"/>
  <c r="F24" i="5" s="1"/>
  <c r="G24" i="5" s="1"/>
  <c r="H24" i="5" s="1"/>
  <c r="I24" i="5" s="1"/>
  <c r="J24" i="5" s="1"/>
  <c r="K24" i="5" s="1"/>
  <c r="L2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D82790D7-8DE3-4319-A12C-36E4552344FE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2B23232-8682-476A-A103-AC71E6CB4F9F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BF073373-2848-4764-88CA-6704A97C0D7F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E292713-90FC-4D41-8F32-DF95937A6B02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C41E8210-F353-477F-8A4B-935055C4465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65D3488-4687-4D28-BD2F-926D8161ECA4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E5412A97-5B85-46BD-A047-14F832D58D24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892BCDC-66BE-4E03-8EC0-40727EFEB75A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2265671E-2A3D-4E5A-9E2A-18338C294C6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FA1C191-8994-452D-8EC6-89747B966A12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974CC740-3717-4589-B1EB-1B0E8DE8828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EDF1FA9-2939-4D50-AA1A-8FF4CAD0612D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<sst xmlns="http://schemas.openxmlformats.org/spreadsheetml/2006/main" count="213" uniqueCount="52">
  <si>
    <t>Application: Tecan i-control</t>
  </si>
  <si>
    <t>Tecan i-control , 2.0.10.0</t>
  </si>
  <si>
    <t>Device: infinite 200Pro</t>
  </si>
  <si>
    <t>Serial number: 1903010769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</si>
  <si>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</si>
  <si>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</si>
  <si>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</si>
  <si>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</si>
  <si>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</si>
  <si>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System</t>
  </si>
  <si>
    <t>LAPTOP-P4MII5TR</t>
  </si>
  <si>
    <t>User</t>
  </si>
  <si>
    <t>LAPTOP-P4MII5TR\Shapiro Lab PC 2</t>
  </si>
  <si>
    <t>Plate</t>
  </si>
  <si>
    <t>VWR 96 Flat Bottom Transparent polyethylene 1086-562 [VWR-transparent-pet.pdfx]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</si>
  <si>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</si>
  <si>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</si>
  <si>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</si>
  <si>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</si>
  <si>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</si>
  <si>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</si>
  <si>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</si>
  <si>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</si>
  <si>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</si>
  <si>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</si>
  <si>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</si>
  <si>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Start Time:</t>
  </si>
  <si>
    <t>&lt;&gt;</t>
  </si>
  <si>
    <t>End Time:</t>
  </si>
  <si>
    <t>3:59:13 PM</t>
  </si>
  <si>
    <t>2026-04-22 3:59:13 PM</t>
  </si>
  <si>
    <t>Temperature: 28.3 °C</t>
  </si>
  <si>
    <t>Blank</t>
  </si>
  <si>
    <t>2026-04-22 4:00:33 PM</t>
  </si>
  <si>
    <t>4:01:06 PM</t>
  </si>
  <si>
    <t>2026-04-22 4:01:06 PM</t>
  </si>
  <si>
    <t>Temperature: 28.4 °C</t>
  </si>
  <si>
    <t>2026-04-22 4:02:24 PM</t>
  </si>
  <si>
    <t>4:02:45 PM</t>
  </si>
  <si>
    <t>2026-04-22 4:02:45 PM</t>
  </si>
  <si>
    <t>2026-04-22 4:04:03 PM</t>
  </si>
  <si>
    <t>4:04:36 PM</t>
  </si>
  <si>
    <t>B1-G12</t>
  </si>
  <si>
    <t>2026-04-22 4:04:36 PM</t>
  </si>
  <si>
    <t>fRS1</t>
  </si>
  <si>
    <t>2026-04-22 4:05:36 PM</t>
  </si>
  <si>
    <t>4:06:02 PM</t>
  </si>
  <si>
    <t>2026-04-22 4:06:02 PM</t>
  </si>
  <si>
    <t>2026-04-22 4:07:03 PM</t>
  </si>
  <si>
    <t>4:07:31 PM</t>
  </si>
  <si>
    <t>2026-04-22 4:07:31 PM</t>
  </si>
  <si>
    <t>2026-04-22 4:08:32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</si>
</sst>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1" fillId="9" borderId="0" xfId="0" applyFont="1" applyFill="1" applyAlignment="1">
      <alignment horizontal="right"/>
    </xf>
  </cellXfs>
  <cellStyles count="8">
    <cellStyle name="Normal" xfId="0" builtinId="0"/>
    <cellStyle name="Tecan.At.Excel.Attenuation" xfId="6" xr:uid="{ED4AFC24-7520-469A-BD2C-E7AA8AD2491F}"/>
    <cellStyle name="Tecan.At.Excel.AutoGain_0" xfId="7" xr:uid="{7AF66A1D-7321-453E-9B18-F63DD602C2BB}"/>
    <cellStyle name="Tecan.At.Excel.Error" xfId="1" xr:uid="{3BF49DD3-BFB7-40CB-B176-7008F430F091}"/>
    <cellStyle name="Tecan.At.Excel.GFactorAndMeasurementBlank" xfId="5" xr:uid="{1DEB6AE9-3475-4391-8FA2-C6C704A458E9}"/>
    <cellStyle name="Tecan.At.Excel.GFactorBlank" xfId="3" xr:uid="{A1453579-7038-4C29-945D-A0556DF2CEC8}"/>
    <cellStyle name="Tecan.At.Excel.GFactorReference" xfId="4" xr:uid="{5943C942-1313-4AF5-869F-C21B03ED67FE}"/>
    <cellStyle name="Tecan.At.Excel.MeasurementBlank" xfId="2" xr:uid="{852A9FAF-C278-44D1-ADE2-15C7288367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EE3F-2F65-49B9-A061-F305E2CB5E17}">
  <dimension ref="A1:M36"/>
  <sheetViews>
    <sheetView tabSelected="1" workbookViewId="0">
      <selection activeCell="R37" sqref="R3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49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25</v>
      </c>
      <c r="E21" t="s">
        <v>42</v>
      </c>
    </row>
    <row r="22" spans="1:13" x14ac:dyDescent="0.2">
      <c r="A22" t="s">
        <v>26</v>
      </c>
      <c r="B22" s="2" t="s">
        <v>50</v>
      </c>
    </row>
    <row r="24" spans="1:13" x14ac:dyDescent="0.2">
      <c r="B24" t="s">
        <v>36</v>
      </c>
    </row>
    <row r="25" spans="1:13" x14ac:dyDescent="0.2">
      <c r="A25" s="3" t="s">
        <v>27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">
      <c r="A26" s="4" t="s">
        <v>44</v>
      </c>
      <c r="B26">
        <v>0.1500999927520752</v>
      </c>
      <c r="C26">
        <v>0.14550000429153442</v>
      </c>
      <c r="D26">
        <v>0.15029999613761902</v>
      </c>
      <c r="E26">
        <v>0.148499995470047</v>
      </c>
      <c r="F26">
        <v>0.15539999306201935</v>
      </c>
      <c r="G26">
        <v>0.16580000519752502</v>
      </c>
      <c r="H26">
        <v>0.18160000443458557</v>
      </c>
      <c r="I26">
        <v>0.39500001072883606</v>
      </c>
      <c r="J26">
        <v>1.132599949836731</v>
      </c>
      <c r="K26">
        <v>1.3014999628067017</v>
      </c>
      <c r="L26">
        <v>1.2822999954223633</v>
      </c>
      <c r="M26">
        <v>1.2612999677658081</v>
      </c>
    </row>
    <row r="27" spans="1:13" x14ac:dyDescent="0.2">
      <c r="A27" s="4">
        <v>1050</v>
      </c>
      <c r="B27">
        <v>0.24650000035762787</v>
      </c>
      <c r="C27">
        <v>0.21340000629425049</v>
      </c>
      <c r="D27">
        <v>0.22509999573230743</v>
      </c>
      <c r="E27">
        <v>0.26750001311302185</v>
      </c>
      <c r="F27">
        <v>0.30320000648498535</v>
      </c>
      <c r="G27">
        <v>0.33730000257492065</v>
      </c>
      <c r="H27">
        <v>0.30009999871253967</v>
      </c>
      <c r="I27">
        <v>0.83980000019073486</v>
      </c>
      <c r="J27">
        <v>1.3296999931335449</v>
      </c>
      <c r="K27">
        <v>1.2548999786376953</v>
      </c>
      <c r="L27">
        <v>1.2105000019073486</v>
      </c>
      <c r="M27">
        <v>1.177899956703186</v>
      </c>
    </row>
    <row r="28" spans="1:13" x14ac:dyDescent="0.2">
      <c r="A28" s="4">
        <v>1051</v>
      </c>
      <c r="B28">
        <v>0.27059999108314514</v>
      </c>
      <c r="C28">
        <v>0.26420000195503235</v>
      </c>
      <c r="D28">
        <v>0.30050000548362732</v>
      </c>
      <c r="E28">
        <v>0.26969999074935913</v>
      </c>
      <c r="F28">
        <v>0.22560000419616699</v>
      </c>
      <c r="G28">
        <v>0.34650000929832458</v>
      </c>
      <c r="H28">
        <v>0.32519999146461487</v>
      </c>
      <c r="I28">
        <v>0.87639999389648438</v>
      </c>
      <c r="J28">
        <v>1.2799999713897705</v>
      </c>
      <c r="K28">
        <v>1.2302000522613525</v>
      </c>
      <c r="L28">
        <v>1.2455999851226807</v>
      </c>
      <c r="M28">
        <v>1.0729999542236328</v>
      </c>
    </row>
    <row r="29" spans="1:13" x14ac:dyDescent="0.2">
      <c r="A29" s="4">
        <v>1052</v>
      </c>
      <c r="B29">
        <v>0.31169998645782471</v>
      </c>
      <c r="C29">
        <v>0.31259998679161072</v>
      </c>
      <c r="D29">
        <v>0.31040000915527344</v>
      </c>
      <c r="E29">
        <v>0.25099998712539673</v>
      </c>
      <c r="F29">
        <v>0.36890000104904175</v>
      </c>
      <c r="G29">
        <v>0.4099000096321106</v>
      </c>
      <c r="H29">
        <v>0.36620000004768372</v>
      </c>
      <c r="I29">
        <v>0.3734000027179718</v>
      </c>
      <c r="J29">
        <v>1.2726999521255493</v>
      </c>
      <c r="K29">
        <v>1.3035999536514282</v>
      </c>
      <c r="L29">
        <v>1.2437000274658203</v>
      </c>
      <c r="M29">
        <v>1.1545000076293945</v>
      </c>
    </row>
    <row r="30" spans="1:13" x14ac:dyDescent="0.2">
      <c r="A30" s="4">
        <v>1053</v>
      </c>
      <c r="B30">
        <v>0.2971000075340271</v>
      </c>
      <c r="C30">
        <v>0.28150001168251038</v>
      </c>
      <c r="D30">
        <v>0.30129998922348022</v>
      </c>
      <c r="E30">
        <v>0.41249999403953552</v>
      </c>
      <c r="F30">
        <v>0.3734000027179718</v>
      </c>
      <c r="G30">
        <v>0.30399999022483826</v>
      </c>
      <c r="H30">
        <v>0.51099997758865356</v>
      </c>
      <c r="I30">
        <v>1.195099949836731</v>
      </c>
      <c r="J30">
        <v>1.3305000066757202</v>
      </c>
      <c r="K30">
        <v>1.2776999473571777</v>
      </c>
      <c r="L30">
        <v>1.2986999750137329</v>
      </c>
      <c r="M30">
        <v>1.2066999673843384</v>
      </c>
    </row>
    <row r="31" spans="1:13" x14ac:dyDescent="0.2">
      <c r="A31" s="4" t="s">
        <v>32</v>
      </c>
      <c r="B31">
        <v>6.080000102519989E-2</v>
      </c>
      <c r="C31">
        <v>5.7300001382827759E-2</v>
      </c>
      <c r="D31">
        <v>5.7300001382827759E-2</v>
      </c>
      <c r="E31">
        <v>5.7199999690055847E-2</v>
      </c>
      <c r="F31">
        <v>5.7100001722574234E-2</v>
      </c>
      <c r="G31">
        <v>5.7300001382827759E-2</v>
      </c>
      <c r="H31">
        <v>5.7500001043081284E-2</v>
      </c>
      <c r="I31">
        <v>5.7799998670816422E-2</v>
      </c>
      <c r="J31">
        <v>5.7300001382827759E-2</v>
      </c>
      <c r="K31">
        <v>5.7300001382827759E-2</v>
      </c>
      <c r="L31">
        <v>5.8499999344348907E-2</v>
      </c>
      <c r="M31">
        <v>5.7799998670816422E-2</v>
      </c>
    </row>
    <row r="36" spans="1:2" x14ac:dyDescent="0.2">
      <c r="A36" t="s">
        <v>28</v>
      </c>
      <c r="B36" s="2" t="s">
        <v>51</v>
      </c>
    </row>
  </sheetData>
  <conditionalFormatting sqref="B26:M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24ED-EE8B-44CC-AC2F-84115D359DC4}">
  <dimension ref="A1:M36"/>
  <sheetViews>
    <sheetView topLeftCell="A16" workbookViewId="0">
      <selection activeCell="J22" sqref="J2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46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25</v>
      </c>
      <c r="E21" t="s">
        <v>42</v>
      </c>
    </row>
    <row r="22" spans="1:13" x14ac:dyDescent="0.2">
      <c r="A22" t="s">
        <v>26</v>
      </c>
      <c r="B22" s="2" t="s">
        <v>47</v>
      </c>
    </row>
    <row r="24" spans="1:13" x14ac:dyDescent="0.2">
      <c r="B24" t="s">
        <v>36</v>
      </c>
    </row>
    <row r="25" spans="1:13" x14ac:dyDescent="0.2">
      <c r="A25" s="3" t="s">
        <v>27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">
      <c r="A26" s="4" t="s">
        <v>44</v>
      </c>
      <c r="B26">
        <v>0.15899999439716339</v>
      </c>
      <c r="C26">
        <v>0.14249999821186066</v>
      </c>
      <c r="D26">
        <v>0.15279999375343323</v>
      </c>
      <c r="E26">
        <v>0.13600000739097595</v>
      </c>
      <c r="F26">
        <v>0.15270000696182251</v>
      </c>
      <c r="G26">
        <v>0.16130000352859497</v>
      </c>
      <c r="H26">
        <v>0.17129999399185181</v>
      </c>
      <c r="I26">
        <v>0.31290000677108765</v>
      </c>
      <c r="J26">
        <v>1.1663999557495117</v>
      </c>
      <c r="K26">
        <v>1.2480000257492065</v>
      </c>
      <c r="L26">
        <v>1.291700005531311</v>
      </c>
      <c r="M26">
        <v>1.1963000297546387</v>
      </c>
    </row>
    <row r="27" spans="1:13" x14ac:dyDescent="0.2">
      <c r="A27" s="4">
        <v>1050</v>
      </c>
      <c r="B27">
        <v>0.21559999883174896</v>
      </c>
      <c r="C27">
        <v>0.22149999439716339</v>
      </c>
      <c r="D27">
        <v>0.14470000565052032</v>
      </c>
      <c r="E27">
        <v>0.18029999732971191</v>
      </c>
      <c r="F27">
        <v>0.20370000600814819</v>
      </c>
      <c r="G27">
        <v>0.19280000030994415</v>
      </c>
      <c r="H27">
        <v>0.27180001139640808</v>
      </c>
      <c r="I27">
        <v>0.81069999933242798</v>
      </c>
      <c r="J27">
        <v>1.187999963760376</v>
      </c>
      <c r="K27">
        <v>1.1536999940872192</v>
      </c>
      <c r="L27">
        <v>1.2481000423431396</v>
      </c>
      <c r="M27">
        <v>1.2202999591827393</v>
      </c>
    </row>
    <row r="28" spans="1:13" x14ac:dyDescent="0.2">
      <c r="A28" s="4">
        <v>1051</v>
      </c>
      <c r="B28">
        <v>0.24160000681877136</v>
      </c>
      <c r="C28">
        <v>0.13120000064373016</v>
      </c>
      <c r="D28">
        <v>0.11819999665021896</v>
      </c>
      <c r="E28">
        <v>0.148499995470047</v>
      </c>
      <c r="F28">
        <v>0.16390000283718109</v>
      </c>
      <c r="G28">
        <v>0.1906999945640564</v>
      </c>
      <c r="H28">
        <v>0.15940000116825104</v>
      </c>
      <c r="I28">
        <v>0.42750000953674316</v>
      </c>
      <c r="J28">
        <v>1.1638000011444092</v>
      </c>
      <c r="K28">
        <v>1.0640000104904175</v>
      </c>
      <c r="L28">
        <v>1.1891000270843506</v>
      </c>
      <c r="M28">
        <v>1.051800012588501</v>
      </c>
    </row>
    <row r="29" spans="1:13" x14ac:dyDescent="0.2">
      <c r="A29" s="4">
        <v>1052</v>
      </c>
      <c r="B29">
        <v>0.28630000352859497</v>
      </c>
      <c r="C29">
        <v>0.12330000102519989</v>
      </c>
      <c r="D29">
        <v>0.11330000311136246</v>
      </c>
      <c r="E29">
        <v>0.17790000140666962</v>
      </c>
      <c r="F29">
        <v>0.17700000107288361</v>
      </c>
      <c r="G29">
        <v>0.24230000376701355</v>
      </c>
      <c r="H29">
        <v>0.2621999979019165</v>
      </c>
      <c r="I29">
        <v>0.4878000020980835</v>
      </c>
      <c r="J29">
        <v>1.2482000589370728</v>
      </c>
      <c r="K29">
        <v>1.2869999408721924</v>
      </c>
      <c r="L29">
        <v>1.2235000133514404</v>
      </c>
      <c r="M29">
        <v>1.0863000154495239</v>
      </c>
    </row>
    <row r="30" spans="1:13" x14ac:dyDescent="0.2">
      <c r="A30" s="4">
        <v>1053</v>
      </c>
      <c r="B30">
        <v>0.31110000610351562</v>
      </c>
      <c r="C30">
        <v>0.19480000436306</v>
      </c>
      <c r="D30">
        <v>0.17309999465942383</v>
      </c>
      <c r="E30">
        <v>0.13680000603199005</v>
      </c>
      <c r="F30">
        <v>0.31189998984336853</v>
      </c>
      <c r="G30">
        <v>0.28560000658035278</v>
      </c>
      <c r="H30">
        <v>0.28769999742507935</v>
      </c>
      <c r="I30">
        <v>1.0406999588012695</v>
      </c>
      <c r="J30">
        <v>1.2431999444961548</v>
      </c>
      <c r="K30">
        <v>1.2913999557495117</v>
      </c>
      <c r="L30">
        <v>1.2524000406265259</v>
      </c>
      <c r="M30">
        <v>1.0960999727249146</v>
      </c>
    </row>
    <row r="31" spans="1:13" x14ac:dyDescent="0.2">
      <c r="A31" s="4" t="s">
        <v>32</v>
      </c>
      <c r="B31">
        <v>5.6899998337030411E-2</v>
      </c>
      <c r="C31">
        <v>5.7199999690055847E-2</v>
      </c>
      <c r="D31">
        <v>5.6499999016523361E-2</v>
      </c>
      <c r="E31">
        <v>5.6899998337030411E-2</v>
      </c>
      <c r="F31">
        <v>5.6699998676776886E-2</v>
      </c>
      <c r="G31">
        <v>5.6499999016523361E-2</v>
      </c>
      <c r="H31">
        <v>5.6699998676776886E-2</v>
      </c>
      <c r="I31">
        <v>5.7500001043081284E-2</v>
      </c>
      <c r="J31">
        <v>5.6800000369548798E-2</v>
      </c>
      <c r="K31">
        <v>5.6800000369548798E-2</v>
      </c>
      <c r="L31">
        <v>5.6899998337030411E-2</v>
      </c>
      <c r="M31">
        <v>5.7399999350309372E-2</v>
      </c>
    </row>
    <row r="36" spans="1:2" x14ac:dyDescent="0.2">
      <c r="A36" t="s">
        <v>28</v>
      </c>
      <c r="B36" s="2" t="s">
        <v>48</v>
      </c>
    </row>
  </sheetData>
  <conditionalFormatting sqref="B26:M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656C-C943-474B-96E3-80D7E8874F5D}">
  <dimension ref="A1:M36"/>
  <sheetViews>
    <sheetView topLeftCell="A19" workbookViewId="0">
      <selection activeCell="K23" sqref="K23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41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25</v>
      </c>
      <c r="E21" t="s">
        <v>42</v>
      </c>
    </row>
    <row r="22" spans="1:13" x14ac:dyDescent="0.2">
      <c r="A22" t="s">
        <v>26</v>
      </c>
      <c r="B22" s="2" t="s">
        <v>43</v>
      </c>
    </row>
    <row r="24" spans="1:13" x14ac:dyDescent="0.2">
      <c r="B24" t="s">
        <v>36</v>
      </c>
    </row>
    <row r="25" spans="1:13" x14ac:dyDescent="0.2">
      <c r="A25" s="3" t="s">
        <v>27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">
      <c r="A26" s="4" t="s">
        <v>44</v>
      </c>
      <c r="B26">
        <v>0.1550000011920929</v>
      </c>
      <c r="C26">
        <v>0.17720000445842743</v>
      </c>
      <c r="D26">
        <v>0.16169999539852142</v>
      </c>
      <c r="E26">
        <v>0.17960000038146973</v>
      </c>
      <c r="F26">
        <v>0.17550000548362732</v>
      </c>
      <c r="G26">
        <v>0.17890000343322754</v>
      </c>
      <c r="H26">
        <v>0.19249999523162842</v>
      </c>
      <c r="I26">
        <v>0.37529999017715454</v>
      </c>
      <c r="J26">
        <v>1.2409000396728516</v>
      </c>
      <c r="K26">
        <v>1.2616000175476074</v>
      </c>
      <c r="L26">
        <v>1.2216999530792236</v>
      </c>
      <c r="M26">
        <v>1.1898000240325928</v>
      </c>
    </row>
    <row r="27" spans="1:13" x14ac:dyDescent="0.2">
      <c r="A27" s="4">
        <v>1050</v>
      </c>
      <c r="B27">
        <v>0.23909999430179596</v>
      </c>
      <c r="C27">
        <v>0.27230000495910645</v>
      </c>
      <c r="D27">
        <v>0.1331000030040741</v>
      </c>
      <c r="E27">
        <v>0.24490000307559967</v>
      </c>
      <c r="F27">
        <v>0.25220000743865967</v>
      </c>
      <c r="G27">
        <v>0.24330000579357147</v>
      </c>
      <c r="H27">
        <v>0.34209999442100525</v>
      </c>
      <c r="I27">
        <v>0.83060002326965332</v>
      </c>
      <c r="J27">
        <v>1.2312999963760376</v>
      </c>
      <c r="K27">
        <v>1.2436000108718872</v>
      </c>
      <c r="L27">
        <v>1.1835999488830566</v>
      </c>
      <c r="M27">
        <v>1.1471999883651733</v>
      </c>
    </row>
    <row r="28" spans="1:13" x14ac:dyDescent="0.2">
      <c r="A28" s="4">
        <v>1051</v>
      </c>
      <c r="B28">
        <v>0.19580000638961792</v>
      </c>
      <c r="C28">
        <v>0.20900000631809235</v>
      </c>
      <c r="D28">
        <v>0.17440000176429749</v>
      </c>
      <c r="E28">
        <v>0.14519999921321869</v>
      </c>
      <c r="F28">
        <v>0.17739999294281006</v>
      </c>
      <c r="G28">
        <v>0.21269999444484711</v>
      </c>
      <c r="H28">
        <v>0.21719999611377716</v>
      </c>
      <c r="I28">
        <v>0.68250000476837158</v>
      </c>
      <c r="J28">
        <v>0.95440000295639038</v>
      </c>
      <c r="K28">
        <v>1.1920000314712524</v>
      </c>
      <c r="L28">
        <v>1.1205999851226807</v>
      </c>
      <c r="M28">
        <v>1.1058000326156616</v>
      </c>
    </row>
    <row r="29" spans="1:13" x14ac:dyDescent="0.2">
      <c r="A29" s="4">
        <v>1052</v>
      </c>
      <c r="B29">
        <v>0.22220000624656677</v>
      </c>
      <c r="C29">
        <v>0.25069999694824219</v>
      </c>
      <c r="D29">
        <v>0.20329999923706055</v>
      </c>
      <c r="E29">
        <v>0.22040000557899475</v>
      </c>
      <c r="F29">
        <v>0.18330000340938568</v>
      </c>
      <c r="G29">
        <v>0.21289999783039093</v>
      </c>
      <c r="H29">
        <v>0.28169998526573181</v>
      </c>
      <c r="I29">
        <v>0.22020000219345093</v>
      </c>
      <c r="J29">
        <v>1.0523999929428101</v>
      </c>
      <c r="K29">
        <v>1.0878000259399414</v>
      </c>
      <c r="L29">
        <v>1.181399941444397</v>
      </c>
      <c r="M29">
        <v>1.1125999689102173</v>
      </c>
    </row>
    <row r="30" spans="1:13" x14ac:dyDescent="0.2">
      <c r="A30" s="4">
        <v>1053</v>
      </c>
      <c r="B30">
        <v>0.2653999924659729</v>
      </c>
      <c r="C30">
        <v>0.26370000839233398</v>
      </c>
      <c r="D30">
        <v>0.25850000977516174</v>
      </c>
      <c r="E30">
        <v>0.32199999690055847</v>
      </c>
      <c r="F30">
        <v>0.3580000102519989</v>
      </c>
      <c r="G30">
        <v>0.33219999074935913</v>
      </c>
      <c r="H30">
        <v>0.28760001063346863</v>
      </c>
      <c r="I30">
        <v>1.0168999433517456</v>
      </c>
      <c r="J30">
        <v>1.111299991607666</v>
      </c>
      <c r="K30">
        <v>1.2316999435424805</v>
      </c>
      <c r="L30">
        <v>1.2299000024795532</v>
      </c>
      <c r="M30">
        <v>1.0963000059127808</v>
      </c>
    </row>
    <row r="31" spans="1:13" x14ac:dyDescent="0.2">
      <c r="A31" s="4" t="s">
        <v>32</v>
      </c>
      <c r="B31">
        <v>6.0300000011920929E-2</v>
      </c>
      <c r="C31">
        <v>5.6699998676776886E-2</v>
      </c>
      <c r="D31">
        <v>5.7500001043081284E-2</v>
      </c>
      <c r="E31">
        <v>5.6800000369548798E-2</v>
      </c>
      <c r="F31">
        <v>5.6899998337030411E-2</v>
      </c>
      <c r="G31">
        <v>5.6699998676776886E-2</v>
      </c>
      <c r="H31">
        <v>5.6899998337030411E-2</v>
      </c>
      <c r="I31">
        <v>5.7500001043081284E-2</v>
      </c>
      <c r="J31">
        <v>5.6800000369548798E-2</v>
      </c>
      <c r="K31">
        <v>5.6899998337030411E-2</v>
      </c>
      <c r="L31">
        <v>5.6899998337030411E-2</v>
      </c>
      <c r="M31">
        <v>5.7199999690055847E-2</v>
      </c>
    </row>
    <row r="36" spans="1:2" x14ac:dyDescent="0.2">
      <c r="A36" t="s">
        <v>28</v>
      </c>
      <c r="B36" s="2" t="s">
        <v>45</v>
      </c>
    </row>
  </sheetData>
  <conditionalFormatting sqref="B26:M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BFCB-6BCE-4155-84CC-4359E603E98C}">
  <dimension ref="A1:M37"/>
  <sheetViews>
    <sheetView topLeftCell="A16" workbookViewId="0">
      <selection activeCell="E22" sqref="E2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38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26</v>
      </c>
      <c r="B21" s="2" t="s">
        <v>39</v>
      </c>
    </row>
    <row r="23" spans="1:13" x14ac:dyDescent="0.2">
      <c r="B23" t="s">
        <v>36</v>
      </c>
    </row>
    <row r="24" spans="1:13" x14ac:dyDescent="0.2">
      <c r="A24" s="3" t="s">
        <v>27</v>
      </c>
      <c r="B24" s="3">
        <v>1</v>
      </c>
      <c r="C24" s="3">
        <f>B24/2</f>
        <v>0.5</v>
      </c>
      <c r="D24" s="3">
        <f t="shared" ref="D24:L24" si="0">C24/2</f>
        <v>0.25</v>
      </c>
      <c r="E24" s="3">
        <f t="shared" si="0"/>
        <v>0.125</v>
      </c>
      <c r="F24" s="3">
        <f t="shared" si="0"/>
        <v>6.25E-2</v>
      </c>
      <c r="G24" s="3">
        <f t="shared" si="0"/>
        <v>3.125E-2</v>
      </c>
      <c r="H24" s="3">
        <f t="shared" si="0"/>
        <v>1.5625E-2</v>
      </c>
      <c r="I24" s="3">
        <f t="shared" si="0"/>
        <v>7.8125E-3</v>
      </c>
      <c r="J24" s="3">
        <f t="shared" si="0"/>
        <v>3.90625E-3</v>
      </c>
      <c r="K24" s="3">
        <f t="shared" si="0"/>
        <v>1.953125E-3</v>
      </c>
      <c r="L24" s="3">
        <f t="shared" si="0"/>
        <v>9.765625E-4</v>
      </c>
      <c r="M24" s="3">
        <v>0</v>
      </c>
    </row>
    <row r="25" spans="1:13" x14ac:dyDescent="0.2">
      <c r="A25" s="3">
        <v>1035</v>
      </c>
      <c r="B25">
        <v>0.20839999616146088</v>
      </c>
      <c r="C25">
        <v>0.2125999927520752</v>
      </c>
      <c r="D25">
        <v>0.19979999959468842</v>
      </c>
      <c r="E25">
        <v>0.20919999480247498</v>
      </c>
      <c r="F25">
        <v>0.21809999644756317</v>
      </c>
      <c r="G25">
        <v>0.22750000655651093</v>
      </c>
      <c r="H25">
        <v>0.25339999794960022</v>
      </c>
      <c r="I25">
        <v>0.69989997148513794</v>
      </c>
      <c r="J25">
        <v>1.1220999956130981</v>
      </c>
      <c r="K25">
        <v>1.2299000024795532</v>
      </c>
      <c r="L25">
        <v>1.2718000411987305</v>
      </c>
      <c r="M25">
        <v>1.2628999948501587</v>
      </c>
    </row>
    <row r="26" spans="1:13" x14ac:dyDescent="0.2">
      <c r="A26" s="3">
        <v>1042</v>
      </c>
      <c r="B26">
        <v>0.21459999680519104</v>
      </c>
      <c r="C26">
        <v>0.18889999389648438</v>
      </c>
      <c r="D26">
        <v>0.20509999990463257</v>
      </c>
      <c r="E26">
        <v>0.21639999747276306</v>
      </c>
      <c r="F26">
        <v>0.22210000455379486</v>
      </c>
      <c r="G26">
        <v>0.26960000395774841</v>
      </c>
      <c r="H26">
        <v>0.21780000627040863</v>
      </c>
      <c r="I26">
        <v>0.65869998931884766</v>
      </c>
      <c r="J26">
        <v>1.0676000118255615</v>
      </c>
      <c r="K26">
        <v>1.1983000040054321</v>
      </c>
      <c r="L26">
        <v>1.2345000505447388</v>
      </c>
      <c r="M26">
        <v>1.2517999410629272</v>
      </c>
    </row>
    <row r="27" spans="1:13" x14ac:dyDescent="0.2">
      <c r="A27" s="3">
        <v>1466</v>
      </c>
      <c r="B27">
        <v>0.12460000067949295</v>
      </c>
      <c r="C27">
        <v>0.11800000071525574</v>
      </c>
      <c r="D27">
        <v>0.12219999730587006</v>
      </c>
      <c r="E27">
        <v>0.12129999697208405</v>
      </c>
      <c r="F27">
        <v>0.12219999730587006</v>
      </c>
      <c r="G27">
        <v>0.12870000302791595</v>
      </c>
      <c r="H27">
        <v>0.14890000224113464</v>
      </c>
      <c r="I27">
        <v>0.24210000038146973</v>
      </c>
      <c r="J27">
        <v>1.0877000093460083</v>
      </c>
      <c r="K27">
        <v>1.1991000175476074</v>
      </c>
      <c r="L27">
        <v>1.2382999658584595</v>
      </c>
      <c r="M27">
        <v>1.2452000379562378</v>
      </c>
    </row>
    <row r="28" spans="1:13" x14ac:dyDescent="0.2">
      <c r="A28" s="3">
        <v>1481</v>
      </c>
      <c r="B28">
        <v>0.54650002717971802</v>
      </c>
      <c r="C28">
        <v>0.47990000247955322</v>
      </c>
      <c r="D28">
        <v>0.57260000705718994</v>
      </c>
      <c r="E28">
        <v>0.59969997406005859</v>
      </c>
      <c r="F28">
        <v>0.49360001087188721</v>
      </c>
      <c r="G28">
        <v>0.62040001153945923</v>
      </c>
      <c r="H28">
        <v>0.60409998893737793</v>
      </c>
      <c r="I28">
        <v>1.1687999963760376</v>
      </c>
      <c r="J28">
        <v>1.0892000198364258</v>
      </c>
      <c r="K28">
        <v>1.2015999555587769</v>
      </c>
      <c r="L28">
        <v>1.2402000427246094</v>
      </c>
      <c r="M28">
        <v>1.260699987411499</v>
      </c>
    </row>
    <row r="29" spans="1:13" x14ac:dyDescent="0.2">
      <c r="A29" s="3">
        <v>1482</v>
      </c>
      <c r="B29">
        <v>0.58429998159408569</v>
      </c>
      <c r="C29">
        <v>0.4885999858379364</v>
      </c>
      <c r="D29">
        <v>0.57160001993179321</v>
      </c>
      <c r="E29">
        <v>0.62589997053146362</v>
      </c>
      <c r="F29">
        <v>0.59219998121261597</v>
      </c>
      <c r="G29">
        <v>0.52310001850128174</v>
      </c>
      <c r="H29">
        <v>0.80699998140335083</v>
      </c>
      <c r="I29">
        <v>0.98189997673034668</v>
      </c>
      <c r="J29">
        <v>0.94800001382827759</v>
      </c>
      <c r="K29">
        <v>1.2332999706268311</v>
      </c>
      <c r="L29">
        <v>1.232699990272522</v>
      </c>
      <c r="M29">
        <v>1.2419999837875366</v>
      </c>
    </row>
    <row r="30" spans="1:13" x14ac:dyDescent="0.2">
      <c r="A30" s="3">
        <v>1145</v>
      </c>
      <c r="B30">
        <v>0.13210000097751617</v>
      </c>
      <c r="C30">
        <v>0.12110000103712082</v>
      </c>
      <c r="D30">
        <v>0.12399999797344208</v>
      </c>
      <c r="E30">
        <v>0.11500000208616257</v>
      </c>
      <c r="F30">
        <v>0.12169999629259109</v>
      </c>
      <c r="G30">
        <v>0.12720000743865967</v>
      </c>
      <c r="H30">
        <v>0.1395999938249588</v>
      </c>
      <c r="I30">
        <v>0.18559999763965607</v>
      </c>
      <c r="J30">
        <v>0.99309998750686646</v>
      </c>
      <c r="K30">
        <v>1.083899974822998</v>
      </c>
      <c r="L30">
        <v>1.2058999538421631</v>
      </c>
      <c r="M30">
        <v>1.2553000450134277</v>
      </c>
    </row>
    <row r="31" spans="1:13" x14ac:dyDescent="0.2">
      <c r="A31" s="3">
        <v>1044</v>
      </c>
      <c r="B31">
        <v>0.14149999618530273</v>
      </c>
      <c r="C31">
        <v>0.11999999731779099</v>
      </c>
      <c r="D31">
        <v>0.11699999868869781</v>
      </c>
      <c r="E31">
        <v>0.1200999990105629</v>
      </c>
      <c r="F31">
        <v>0.11800000071525574</v>
      </c>
      <c r="G31">
        <v>0.12269999831914902</v>
      </c>
      <c r="H31">
        <v>0.13349999487400055</v>
      </c>
      <c r="I31">
        <v>0.1835000067949295</v>
      </c>
      <c r="J31">
        <v>1.0927000045776367</v>
      </c>
      <c r="K31">
        <v>1.1908999681472778</v>
      </c>
      <c r="L31">
        <v>1.2421000003814697</v>
      </c>
      <c r="M31">
        <v>1.2638000249862671</v>
      </c>
    </row>
    <row r="32" spans="1:13" x14ac:dyDescent="0.2">
      <c r="A32" s="3" t="s">
        <v>32</v>
      </c>
      <c r="B32">
        <v>6.0199998319149017E-2</v>
      </c>
      <c r="C32">
        <v>5.7900000363588333E-2</v>
      </c>
      <c r="D32">
        <v>5.7399999350309372E-2</v>
      </c>
      <c r="E32">
        <v>5.6600000709295273E-2</v>
      </c>
      <c r="F32">
        <v>5.7700000703334808E-2</v>
      </c>
      <c r="G32">
        <v>5.6499999016523361E-2</v>
      </c>
      <c r="H32">
        <v>5.6099999696016312E-2</v>
      </c>
      <c r="I32">
        <v>5.8499999344348907E-2</v>
      </c>
      <c r="J32">
        <v>5.6200001388788223E-2</v>
      </c>
      <c r="K32">
        <v>5.7300001382827759E-2</v>
      </c>
      <c r="L32">
        <v>5.7300001382827759E-2</v>
      </c>
      <c r="M32">
        <v>5.7999998331069946E-2</v>
      </c>
    </row>
    <row r="37" spans="1:2" x14ac:dyDescent="0.2">
      <c r="A37" t="s">
        <v>28</v>
      </c>
      <c r="B37" s="2" t="s">
        <v>40</v>
      </c>
    </row>
  </sheetData>
  <conditionalFormatting sqref="B25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FF23-80F1-4B64-A075-BEACF3343021}">
  <dimension ref="A1:M37"/>
  <sheetViews>
    <sheetView topLeftCell="A19" workbookViewId="0">
      <selection activeCell="D36" sqref="D36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34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26</v>
      </c>
      <c r="B21" s="2" t="s">
        <v>35</v>
      </c>
    </row>
    <row r="23" spans="1:13" x14ac:dyDescent="0.2">
      <c r="B23" t="s">
        <v>36</v>
      </c>
    </row>
    <row r="24" spans="1:13" x14ac:dyDescent="0.2">
      <c r="A24" s="3" t="s">
        <v>27</v>
      </c>
      <c r="B24" s="3">
        <v>1</v>
      </c>
      <c r="C24" s="3">
        <f>B24/2</f>
        <v>0.5</v>
      </c>
      <c r="D24" s="3">
        <f t="shared" ref="D24:L24" si="0">C24/2</f>
        <v>0.25</v>
      </c>
      <c r="E24" s="3">
        <f t="shared" si="0"/>
        <v>0.125</v>
      </c>
      <c r="F24" s="3">
        <f t="shared" si="0"/>
        <v>6.25E-2</v>
      </c>
      <c r="G24" s="3">
        <f t="shared" si="0"/>
        <v>3.125E-2</v>
      </c>
      <c r="H24" s="3">
        <f t="shared" si="0"/>
        <v>1.5625E-2</v>
      </c>
      <c r="I24" s="3">
        <f t="shared" si="0"/>
        <v>7.8125E-3</v>
      </c>
      <c r="J24" s="3">
        <f t="shared" si="0"/>
        <v>3.90625E-3</v>
      </c>
      <c r="K24" s="3">
        <f t="shared" si="0"/>
        <v>1.953125E-3</v>
      </c>
      <c r="L24" s="3">
        <f t="shared" si="0"/>
        <v>9.765625E-4</v>
      </c>
      <c r="M24" s="3">
        <v>0</v>
      </c>
    </row>
    <row r="25" spans="1:13" x14ac:dyDescent="0.2">
      <c r="A25" s="3">
        <v>1035</v>
      </c>
      <c r="B25">
        <v>0.19720000028610229</v>
      </c>
      <c r="C25">
        <v>0.20440000295639038</v>
      </c>
      <c r="D25">
        <v>0.20469999313354492</v>
      </c>
      <c r="E25">
        <v>0.19750000536441803</v>
      </c>
      <c r="F25">
        <v>0.19550000131130219</v>
      </c>
      <c r="G25">
        <v>0.20219999551773071</v>
      </c>
      <c r="H25">
        <v>0.22669999301433563</v>
      </c>
      <c r="I25">
        <v>0.78839999437332153</v>
      </c>
      <c r="J25">
        <v>1.1657999753952026</v>
      </c>
      <c r="K25">
        <v>1.2237999439239502</v>
      </c>
      <c r="L25">
        <v>1.2720999717712402</v>
      </c>
      <c r="M25">
        <v>1.2601000070571899</v>
      </c>
    </row>
    <row r="26" spans="1:13" x14ac:dyDescent="0.2">
      <c r="A26" s="3">
        <v>1042</v>
      </c>
      <c r="B26">
        <v>0.22179999947547913</v>
      </c>
      <c r="C26">
        <v>0.20080000162124634</v>
      </c>
      <c r="D26">
        <v>0.21600000560283661</v>
      </c>
      <c r="E26">
        <v>0.21780000627040863</v>
      </c>
      <c r="F26">
        <v>0.21709999442100525</v>
      </c>
      <c r="G26">
        <v>0.24259999394416809</v>
      </c>
      <c r="H26">
        <v>0.26050001382827759</v>
      </c>
      <c r="I26">
        <v>0.57630002498626709</v>
      </c>
      <c r="J26">
        <v>1.0879000425338745</v>
      </c>
      <c r="K26">
        <v>1.187999963760376</v>
      </c>
      <c r="L26">
        <v>1.2276999950408936</v>
      </c>
      <c r="M26">
        <v>1.2371000051498413</v>
      </c>
    </row>
    <row r="27" spans="1:13" x14ac:dyDescent="0.2">
      <c r="A27" s="3">
        <v>1466</v>
      </c>
      <c r="B27">
        <v>0.12759999930858612</v>
      </c>
      <c r="C27">
        <v>0.12240000069141388</v>
      </c>
      <c r="D27">
        <v>0.11789999902248383</v>
      </c>
      <c r="E27">
        <v>0.12559999525547028</v>
      </c>
      <c r="F27">
        <v>0.11890000104904175</v>
      </c>
      <c r="G27">
        <v>0.12520000338554382</v>
      </c>
      <c r="H27">
        <v>0.13120000064373016</v>
      </c>
      <c r="I27">
        <v>0.18490000069141388</v>
      </c>
      <c r="J27">
        <v>0.80900001525878906</v>
      </c>
      <c r="K27">
        <v>1.1962000131607056</v>
      </c>
      <c r="L27">
        <v>1.256100058555603</v>
      </c>
      <c r="M27">
        <v>1.2300000190734863</v>
      </c>
    </row>
    <row r="28" spans="1:13" x14ac:dyDescent="0.2">
      <c r="A28" s="3">
        <v>1481</v>
      </c>
      <c r="B28">
        <v>0.54519999027252197</v>
      </c>
      <c r="C28">
        <v>0.53680002689361572</v>
      </c>
      <c r="D28">
        <v>0.5349000096321106</v>
      </c>
      <c r="E28">
        <v>0.53939998149871826</v>
      </c>
      <c r="F28">
        <v>0.51239997148513794</v>
      </c>
      <c r="G28">
        <v>0.5471000075340271</v>
      </c>
      <c r="H28">
        <v>0.61640000343322754</v>
      </c>
      <c r="I28">
        <v>1.0073000192642212</v>
      </c>
      <c r="J28">
        <v>1.0068999528884888</v>
      </c>
      <c r="K28">
        <v>1.1770000457763672</v>
      </c>
      <c r="L28">
        <v>1.2311999797821045</v>
      </c>
      <c r="M28">
        <v>1.2388999462127686</v>
      </c>
    </row>
    <row r="29" spans="1:13" x14ac:dyDescent="0.2">
      <c r="A29" s="3">
        <v>1482</v>
      </c>
      <c r="B29">
        <v>0.55959999561309814</v>
      </c>
      <c r="C29">
        <v>0.52380001544952393</v>
      </c>
      <c r="D29">
        <v>0.41679999232292175</v>
      </c>
      <c r="E29">
        <v>0.4984000027179718</v>
      </c>
      <c r="F29">
        <v>0.55279999971389771</v>
      </c>
      <c r="G29">
        <v>0.60140001773834229</v>
      </c>
      <c r="H29">
        <v>0.70999997854232788</v>
      </c>
      <c r="I29">
        <v>1.0062999725341797</v>
      </c>
      <c r="J29">
        <v>1.0530999898910522</v>
      </c>
      <c r="K29">
        <v>1.2367000579833984</v>
      </c>
      <c r="L29">
        <v>1.2457000017166138</v>
      </c>
      <c r="M29">
        <v>1.2342000007629395</v>
      </c>
    </row>
    <row r="30" spans="1:13" x14ac:dyDescent="0.2">
      <c r="A30" s="3">
        <v>1145</v>
      </c>
      <c r="B30">
        <v>0.12630000710487366</v>
      </c>
      <c r="C30">
        <v>0.11569999903440475</v>
      </c>
      <c r="D30">
        <v>0.11230000108480453</v>
      </c>
      <c r="E30">
        <v>0.12839999794960022</v>
      </c>
      <c r="F30">
        <v>0.11620000004768372</v>
      </c>
      <c r="G30">
        <v>0.12989999353885651</v>
      </c>
      <c r="H30">
        <v>0.12849999964237213</v>
      </c>
      <c r="I30">
        <v>0.16709999740123749</v>
      </c>
      <c r="J30">
        <v>1.0187000036239624</v>
      </c>
      <c r="K30">
        <v>1.1045000553131104</v>
      </c>
      <c r="L30">
        <v>1.2466000318527222</v>
      </c>
      <c r="M30">
        <v>1.2735999822616577</v>
      </c>
    </row>
    <row r="31" spans="1:13" x14ac:dyDescent="0.2">
      <c r="A31" s="3">
        <v>1044</v>
      </c>
      <c r="B31">
        <v>0.13169999420642853</v>
      </c>
      <c r="C31">
        <v>0.1331000030040741</v>
      </c>
      <c r="D31">
        <v>0.12890000641345978</v>
      </c>
      <c r="E31">
        <v>0.12720000743865967</v>
      </c>
      <c r="F31">
        <v>0.13359999656677246</v>
      </c>
      <c r="G31">
        <v>0.13220000267028809</v>
      </c>
      <c r="H31">
        <v>0.12839999794960022</v>
      </c>
      <c r="I31">
        <v>0.18150000274181366</v>
      </c>
      <c r="J31">
        <v>0.66079998016357422</v>
      </c>
      <c r="K31">
        <v>1.1734999418258667</v>
      </c>
      <c r="L31">
        <v>1.208899974822998</v>
      </c>
      <c r="M31">
        <v>1.2403000593185425</v>
      </c>
    </row>
    <row r="32" spans="1:13" x14ac:dyDescent="0.2">
      <c r="A32" s="3" t="s">
        <v>32</v>
      </c>
      <c r="B32">
        <v>6.0300000011920929E-2</v>
      </c>
      <c r="C32">
        <v>5.7799998670816422E-2</v>
      </c>
      <c r="D32">
        <v>5.8400001376867294E-2</v>
      </c>
      <c r="E32">
        <v>5.7199999690055847E-2</v>
      </c>
      <c r="F32">
        <v>5.7700000703334808E-2</v>
      </c>
      <c r="G32">
        <v>5.8600001037120819E-2</v>
      </c>
      <c r="H32">
        <v>5.6600000709295273E-2</v>
      </c>
      <c r="I32">
        <v>5.820000171661377E-2</v>
      </c>
      <c r="J32">
        <v>5.7000000029802322E-2</v>
      </c>
      <c r="K32">
        <v>5.7700000703334808E-2</v>
      </c>
      <c r="L32">
        <v>5.7399999350309372E-2</v>
      </c>
      <c r="M32">
        <v>5.8499999344348907E-2</v>
      </c>
    </row>
    <row r="37" spans="1:2" x14ac:dyDescent="0.2">
      <c r="A37" t="s">
        <v>28</v>
      </c>
      <c r="B37" s="2" t="s">
        <v>37</v>
      </c>
    </row>
  </sheetData>
  <conditionalFormatting sqref="B25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1CFD-9CE2-47DE-9D8A-18DC56742525}">
  <dimension ref="A1:M37"/>
  <sheetViews>
    <sheetView topLeftCell="A19" workbookViewId="0">
      <selection activeCell="F37" sqref="F3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29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26</v>
      </c>
      <c r="B21" s="2" t="s">
        <v>30</v>
      </c>
    </row>
    <row r="23" spans="1:13" x14ac:dyDescent="0.2">
      <c r="B23" t="s">
        <v>31</v>
      </c>
    </row>
    <row r="24" spans="1:13" x14ac:dyDescent="0.2">
      <c r="A24" s="3" t="s">
        <v>27</v>
      </c>
      <c r="B24" s="3">
        <v>1</v>
      </c>
      <c r="C24" s="3">
        <f>B24/2</f>
        <v>0.5</v>
      </c>
      <c r="D24" s="3">
        <f t="shared" ref="D24:L24" si="0">C24/2</f>
        <v>0.25</v>
      </c>
      <c r="E24" s="3">
        <f t="shared" si="0"/>
        <v>0.125</v>
      </c>
      <c r="F24" s="3">
        <f t="shared" si="0"/>
        <v>6.25E-2</v>
      </c>
      <c r="G24" s="3">
        <f t="shared" si="0"/>
        <v>3.125E-2</v>
      </c>
      <c r="H24" s="3">
        <f t="shared" si="0"/>
        <v>1.5625E-2</v>
      </c>
      <c r="I24" s="3">
        <f t="shared" si="0"/>
        <v>7.8125E-3</v>
      </c>
      <c r="J24" s="3">
        <f t="shared" si="0"/>
        <v>3.90625E-3</v>
      </c>
      <c r="K24" s="3">
        <f t="shared" si="0"/>
        <v>1.953125E-3</v>
      </c>
      <c r="L24" s="3">
        <f t="shared" si="0"/>
        <v>9.765625E-4</v>
      </c>
      <c r="M24" s="3">
        <v>0</v>
      </c>
    </row>
    <row r="25" spans="1:13" x14ac:dyDescent="0.2">
      <c r="A25" s="3">
        <v>1035</v>
      </c>
      <c r="B25">
        <v>0.20379999279975891</v>
      </c>
      <c r="C25">
        <v>0.21520000696182251</v>
      </c>
      <c r="D25">
        <v>0.19910000264644623</v>
      </c>
      <c r="E25">
        <v>0.21829999983310699</v>
      </c>
      <c r="F25">
        <v>0.22740000486373901</v>
      </c>
      <c r="G25">
        <v>0.23929999768733978</v>
      </c>
      <c r="H25">
        <v>0.23440000414848328</v>
      </c>
      <c r="I25">
        <v>0.80889999866485596</v>
      </c>
      <c r="J25">
        <v>1.2574000358581543</v>
      </c>
      <c r="K25">
        <v>1.2625000476837158</v>
      </c>
      <c r="L25">
        <v>1.2791999578475952</v>
      </c>
      <c r="M25">
        <v>1.2716000080108643</v>
      </c>
    </row>
    <row r="26" spans="1:13" x14ac:dyDescent="0.2">
      <c r="A26" s="3">
        <v>1042</v>
      </c>
      <c r="B26">
        <v>0.21549999713897705</v>
      </c>
      <c r="C26">
        <v>0.2046000063419342</v>
      </c>
      <c r="D26">
        <v>0.19310000538825989</v>
      </c>
      <c r="E26">
        <v>0.23379999399185181</v>
      </c>
      <c r="F26">
        <v>0.22939999401569366</v>
      </c>
      <c r="G26">
        <v>0.30500000715255737</v>
      </c>
      <c r="H26">
        <v>0.29440000653266907</v>
      </c>
      <c r="I26">
        <v>0.88819998502731323</v>
      </c>
      <c r="J26">
        <v>1.2560000419616699</v>
      </c>
      <c r="K26">
        <v>1.2096999883651733</v>
      </c>
      <c r="L26">
        <v>1.2266999483108521</v>
      </c>
      <c r="M26">
        <v>1.2411999702453613</v>
      </c>
    </row>
    <row r="27" spans="1:13" x14ac:dyDescent="0.2">
      <c r="A27" s="3">
        <v>1466</v>
      </c>
      <c r="B27">
        <v>0.13359999656677246</v>
      </c>
      <c r="C27">
        <v>0.12269999831914902</v>
      </c>
      <c r="D27">
        <v>0.12309999763965607</v>
      </c>
      <c r="E27">
        <v>0.12099999934434891</v>
      </c>
      <c r="F27">
        <v>0.12460000067949295</v>
      </c>
      <c r="G27">
        <v>0.13869999349117279</v>
      </c>
      <c r="H27">
        <v>0.13910000026226044</v>
      </c>
      <c r="I27">
        <v>0.21819999814033508</v>
      </c>
      <c r="J27">
        <v>1.1168999671936035</v>
      </c>
      <c r="K27">
        <v>1.1935000419616699</v>
      </c>
      <c r="L27">
        <v>1.2578999996185303</v>
      </c>
      <c r="M27">
        <v>1.2283999919891357</v>
      </c>
    </row>
    <row r="28" spans="1:13" x14ac:dyDescent="0.2">
      <c r="A28" s="3">
        <v>1481</v>
      </c>
      <c r="B28">
        <v>0.64969998598098755</v>
      </c>
      <c r="C28">
        <v>0.6437000036239624</v>
      </c>
      <c r="D28">
        <v>0.66299998760223389</v>
      </c>
      <c r="E28">
        <v>0.57969999313354492</v>
      </c>
      <c r="F28">
        <v>0.65490001440048218</v>
      </c>
      <c r="G28">
        <v>0.69840002059936523</v>
      </c>
      <c r="H28">
        <v>0.75550001859664917</v>
      </c>
      <c r="I28">
        <v>1.1858999729156494</v>
      </c>
      <c r="J28">
        <v>1.2228000164031982</v>
      </c>
      <c r="K28">
        <v>1.2788000106811523</v>
      </c>
      <c r="L28">
        <v>1.2305999994277954</v>
      </c>
      <c r="M28">
        <v>1.2518999576568604</v>
      </c>
    </row>
    <row r="29" spans="1:13" x14ac:dyDescent="0.2">
      <c r="A29" s="3">
        <v>1482</v>
      </c>
      <c r="B29">
        <v>0.6305999755859375</v>
      </c>
      <c r="C29">
        <v>0.64569997787475586</v>
      </c>
      <c r="D29">
        <v>0.62999999523162842</v>
      </c>
      <c r="E29">
        <v>0.61860001087188721</v>
      </c>
      <c r="F29">
        <v>0.61619997024536133</v>
      </c>
      <c r="G29">
        <v>0.63279998302459717</v>
      </c>
      <c r="H29">
        <v>0.80210000276565552</v>
      </c>
      <c r="I29">
        <v>1.0453000068664551</v>
      </c>
      <c r="J29">
        <v>1.1596000194549561</v>
      </c>
      <c r="K29">
        <v>1.2532000541687012</v>
      </c>
      <c r="L29">
        <v>1.2479000091552734</v>
      </c>
      <c r="M29">
        <v>1.2371000051498413</v>
      </c>
    </row>
    <row r="30" spans="1:13" x14ac:dyDescent="0.2">
      <c r="A30" s="3">
        <v>1145</v>
      </c>
      <c r="B30">
        <v>0.14880000054836273</v>
      </c>
      <c r="C30">
        <v>0.13030000030994415</v>
      </c>
      <c r="D30">
        <v>0.1281999945640564</v>
      </c>
      <c r="E30">
        <v>0.12639999389648438</v>
      </c>
      <c r="F30">
        <v>0.13019999861717224</v>
      </c>
      <c r="G30">
        <v>0.13979999721050262</v>
      </c>
      <c r="H30">
        <v>0.15039999783039093</v>
      </c>
      <c r="I30">
        <v>0.25369998812675476</v>
      </c>
      <c r="J30">
        <v>1.2211999893188477</v>
      </c>
      <c r="K30">
        <v>1.1806999444961548</v>
      </c>
      <c r="L30">
        <v>1.2589000463485718</v>
      </c>
      <c r="M30">
        <v>1.2489999532699585</v>
      </c>
    </row>
    <row r="31" spans="1:13" x14ac:dyDescent="0.2">
      <c r="A31" s="3">
        <v>1044</v>
      </c>
      <c r="B31">
        <v>0.15289999544620514</v>
      </c>
      <c r="C31">
        <v>0.13169999420642853</v>
      </c>
      <c r="D31">
        <v>0.13850000500679016</v>
      </c>
      <c r="E31">
        <v>0.13750000298023224</v>
      </c>
      <c r="F31">
        <v>0.1363999992609024</v>
      </c>
      <c r="G31">
        <v>0.14519999921321869</v>
      </c>
      <c r="H31">
        <v>0.15430000424385071</v>
      </c>
      <c r="I31">
        <v>0.26690000295639038</v>
      </c>
      <c r="J31">
        <v>1.1660000085830688</v>
      </c>
      <c r="K31">
        <v>1.1755000352859497</v>
      </c>
      <c r="L31">
        <v>1.2783000469207764</v>
      </c>
      <c r="M31">
        <v>1.2597999572753906</v>
      </c>
    </row>
    <row r="32" spans="1:13" x14ac:dyDescent="0.2">
      <c r="A32" s="3" t="s">
        <v>32</v>
      </c>
      <c r="B32">
        <v>6.0699999332427979E-2</v>
      </c>
      <c r="C32">
        <v>5.7900000363588333E-2</v>
      </c>
      <c r="D32">
        <v>5.8299999684095383E-2</v>
      </c>
      <c r="E32">
        <v>5.7100001722574234E-2</v>
      </c>
      <c r="F32">
        <v>5.7999998331069946E-2</v>
      </c>
      <c r="G32">
        <v>5.7000000029802322E-2</v>
      </c>
      <c r="H32">
        <v>5.6600000709295273E-2</v>
      </c>
      <c r="I32">
        <v>5.7999998331069946E-2</v>
      </c>
      <c r="J32">
        <v>5.6800000369548798E-2</v>
      </c>
      <c r="K32">
        <v>5.7999998331069946E-2</v>
      </c>
      <c r="L32">
        <v>5.7399999350309372E-2</v>
      </c>
      <c r="M32">
        <v>5.8299999684095383E-2</v>
      </c>
    </row>
    <row r="37" spans="1:2" x14ac:dyDescent="0.2">
      <c r="A37" t="s">
        <v>28</v>
      </c>
      <c r="B37" s="2" t="s">
        <v>33</v>
      </c>
    </row>
  </sheetData>
  <conditionalFormatting sqref="B25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POS_Set2_Rep3</vt:lpstr>
      <vt:lpstr>POS_Set2_Rep2</vt:lpstr>
      <vt:lpstr>POS_Set2_Rep1</vt:lpstr>
      <vt:lpstr>POS_Set1_Rep3</vt:lpstr>
      <vt:lpstr>POS_Set1_Rep2</vt:lpstr>
      <vt:lpstr>POS_Set1_Rep1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Bates</dc:creator>
  <cp:lastModifiedBy>Nicholas Gervais</cp:lastModifiedBy>
  <dcterms:created xsi:type="dcterms:W3CDTF">2026-04-22T16:27:58Z</dcterms:created>
  <dcterms:modified xsi:type="dcterms:W3CDTF">2026-05-28T16:27:50Z</dcterms:modified>
</cp:coreProperties>
</file>